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w % Complete" sheetId="1" r:id="rId4"/>
  </sheets>
  <definedNames/>
  <calcPr/>
  <extLst>
    <ext uri="GoogleSheetsCustomDataVersion2">
      <go:sheetsCustomData xmlns:go="http://customooxmlschemas.google.com/" r:id="rId5" roundtripDataChecksum="VBOEA7mhPcuNBIJQDvuDrL5zxFzi1/S0KooFdUfhIUw="/>
    </ext>
  </extLst>
</workbook>
</file>

<file path=xl/sharedStrings.xml><?xml version="1.0" encoding="utf-8"?>
<sst xmlns="http://schemas.openxmlformats.org/spreadsheetml/2006/main" count="594" uniqueCount="293">
  <si>
    <t>ECSE 395 — Memorial Bird Feeder Gantt Chart</t>
  </si>
  <si>
    <t>Course dates: supplied Canvas assignment list, Fall 2026. FS/TS due Sep 14 and brainstorming due Sep 21 are prior work, not future tasks.</t>
  </si>
  <si>
    <t>Plan end date</t>
  </si>
  <si>
    <t>DRAFT execution tasks and team milestones. Course deadlines confirmed from attachment. Confirm owners, selected concept and actual progress.</t>
  </si>
  <si>
    <t>September 28–December 9, 2026. Blue = scheduled week; M = milestone. Days available counts calendar days, including both endpoints and weekends. A same-day window is 1 day.</t>
  </si>
  <si>
    <t>ID</t>
  </si>
  <si>
    <t>Subsystem task</t>
  </si>
  <si>
    <t>Start date</t>
  </si>
  <si>
    <t>Type</t>
  </si>
  <si>
    <t>End date</t>
  </si>
  <si>
    <t>Days available</t>
  </si>
  <si>
    <t>Predecessor IDs</t>
  </si>
  <si>
    <t>Related specs</t>
  </si>
  <si>
    <t>Responsible person(s)</t>
  </si>
  <si>
    <t>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</si>
  <si>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</si>
  <si>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</si>
  <si>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</si>
  <si>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</si>
  <si>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</si>
  <si>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</si>
  <si>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</si>
  <si>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</si>
  <si>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</si>
  <si>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</si>
  <si>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</si>
  <si>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Notes / due time</t>
  </si>
  <si>
    <t>Canvas assignment source</t>
  </si>
  <si>
    <t>Concept selection and architecture</t>
  </si>
  <si>
    <t>R1</t>
  </si>
  <si>
    <t>Finalize concept choice and Gantt submission</t>
  </si>
  <si>
    <t>Ayan, Daniel, Emmett, Joseph</t>
  </si>
  <si>
    <t>Same-day course deadline. Confirm actual submission status. Earlier specifications and brainstorming are prior work.</t>
  </si>
  <si>
    <t>R2</t>
  </si>
  <si>
    <t>Define subsystem interfaces and prototype questions</t>
  </si>
  <si>
    <t>R3</t>
  </si>
  <si>
    <t>Write architecture and three-prototype plan</t>
  </si>
  <si>
    <t>Prototype 1/2/3 mapping below is proposed, pending the selected concept and assignment brief.</t>
  </si>
  <si>
    <t>R4</t>
  </si>
  <si>
    <t>Define measurable verification and validation methods</t>
  </si>
  <si>
    <t>R5</t>
  </si>
  <si>
    <t>Review and submit verification and validation plan</t>
  </si>
  <si>
    <t>Seed protection and bird access — proposed Prototype 1</t>
  </si>
  <si>
    <t>S1</t>
  </si>
  <si>
    <t>Design seed-loss mechanism and bird clearances</t>
  </si>
  <si>
    <t>S2</t>
  </si>
  <si>
    <t>Source stock materials and build quick mockup</t>
  </si>
  <si>
    <t>Daniel</t>
  </si>
  <si>
    <t>Use available materials for the early prototype. Order long-lead MVP parts by Oct 2.</t>
  </si>
  <si>
    <t>S3</t>
  </si>
  <si>
    <t>Test mockup and capture evidence for check-in</t>
  </si>
  <si>
    <t>S4</t>
  </si>
  <si>
    <t>Refine seed protection using prototype findings</t>
  </si>
  <si>
    <t>Rain protection and drainage — proposed Prototype 2</t>
  </si>
  <si>
    <t>W1</t>
  </si>
  <si>
    <t>Design rain coverage and drainage paths</t>
  </si>
  <si>
    <t>W2</t>
  </si>
  <si>
    <t>Build quick weather and drainage mockup</t>
  </si>
  <si>
    <t>W3</t>
  </si>
  <si>
    <t>Run water tests and record check-in evidence</t>
  </si>
  <si>
    <t>W4</t>
  </si>
  <si>
    <t>Refine rain protection and drainage</t>
  </si>
  <si>
    <t>Mounting and refill access — proposed Prototype 3</t>
  </si>
  <si>
    <t>A1</t>
  </si>
  <si>
    <t>Measure feeder, inscription and window access</t>
  </si>
  <si>
    <t>Task</t>
  </si>
  <si>
    <t>FS.04–FS.06</t>
  </si>
  <si>
    <t>Ayan</t>
  </si>
  <si>
    <t>A2</t>
  </si>
  <si>
    <t>Design removable mounting and service access</t>
  </si>
  <si>
    <t>A3</t>
  </si>
  <si>
    <t>Build mount and rehearse refill/cleaning tasks</t>
  </si>
  <si>
    <t>Emmett</t>
  </si>
  <si>
    <t>A4</t>
  </si>
  <si>
    <t>Check visibility, damage and refill clearance</t>
  </si>
  <si>
    <t>Joseph</t>
  </si>
  <si>
    <t>Preserve inscription and original feeder. Automatic or remote refilling remains outside scope.</t>
  </si>
  <si>
    <t>Controls and power — conditional on selected concept</t>
  </si>
  <si>
    <t>E1</t>
  </si>
  <si>
    <t>Define sensing, control states and power needs</t>
  </si>
  <si>
    <t>Conditional</t>
  </si>
  <si>
    <t>Selected concept TS</t>
  </si>
  <si>
    <t>Remove these tasks if the selected concept is passive.</t>
  </si>
  <si>
    <t>E2</t>
  </si>
  <si>
    <t>Order parts and develop controller logic</t>
  </si>
  <si>
    <t>E3</t>
  </si>
  <si>
    <t>Assemble and bench-test controls and power</t>
  </si>
  <si>
    <t>E4</t>
  </si>
  <si>
    <t>Integrate enclosure, wiring and service mode</t>
  </si>
  <si>
    <t>Prototype reviews, midterm and MVP integration</t>
  </si>
  <si>
    <t>P1</t>
  </si>
  <si>
    <t>Order MVP materials and track deliveries</t>
  </si>
  <si>
    <t>All subsystems</t>
  </si>
  <si>
    <t>Resolve lead times early enough for Oct 19 integration.</t>
  </si>
  <si>
    <t>M1</t>
  </si>
  <si>
    <t>Team milestone: Prototypes 1 and 2 ready</t>
  </si>
  <si>
    <t>Team milestone</t>
  </si>
  <si>
    <t>S3, W3</t>
  </si>
  <si>
    <t>All FS / TS</t>
  </si>
  <si>
    <t>M2</t>
  </si>
  <si>
    <t>Team milestone: Prototype 3 ready</t>
  </si>
  <si>
    <t>P2</t>
  </si>
  <si>
    <t>Prepare midterm slides and individual speaking parts</t>
  </si>
  <si>
    <t>Ayan and Joseph</t>
  </si>
  <si>
    <t>Include all three prototype findings and concept rationale.</t>
  </si>
  <si>
    <t>P3</t>
  </si>
  <si>
    <t>Package prototype evidence and rehearse midterm</t>
  </si>
  <si>
    <t>S4, W4, A4</t>
  </si>
  <si>
    <t>M3</t>
  </si>
  <si>
    <t>Team milestone: midterm package ready</t>
  </si>
  <si>
    <t>P2, P3</t>
  </si>
  <si>
    <t>I1</t>
  </si>
  <si>
    <t>Assemble MVP mechanical interfaces</t>
  </si>
  <si>
    <t>S4, W4, A4, P1</t>
  </si>
  <si>
    <t>I2</t>
  </si>
  <si>
    <t>Test MVP operation and correct integration faults</t>
  </si>
  <si>
    <t>I1; E4 if used</t>
  </si>
  <si>
    <t>M4</t>
  </si>
  <si>
    <t>Team milestone: MVP ready for submission</t>
  </si>
  <si>
    <t>I3</t>
  </si>
  <si>
    <t>Capture MVP evidence and prepare progress check-in</t>
  </si>
  <si>
    <t>Verification, validation and data analysis</t>
  </si>
  <si>
    <t>V1</t>
  </si>
  <si>
    <t>Verify seed loss, access and rain performance</t>
  </si>
  <si>
    <t>M4, R5</t>
  </si>
  <si>
    <t>FS.01–FS.03 / linked TS</t>
  </si>
  <si>
    <t>V2</t>
  </si>
  <si>
    <t>Validate refill, inscription and upkeep with stakeholder</t>
  </si>
  <si>
    <t>FS.04–FS.06 / linked TS</t>
  </si>
  <si>
    <t>Arrange stakeholder availability beforehand. Record task success, service effort and feedback.</t>
  </si>
  <si>
    <t>V3</t>
  </si>
  <si>
    <t>Arrange stakeholder testing appointment</t>
  </si>
  <si>
    <t>V4</t>
  </si>
  <si>
    <t>Complete test evidence and validation checkpoint</t>
  </si>
  <si>
    <t>V1, V2</t>
  </si>
  <si>
    <t>All linked TS</t>
  </si>
  <si>
    <t>M5</t>
  </si>
  <si>
    <t>Team milestone: first test dataset complete</t>
  </si>
  <si>
    <t>V5</t>
  </si>
  <si>
    <t>Analyze results against targets and document failures</t>
  </si>
  <si>
    <t>V6</t>
  </si>
  <si>
    <t>Finalize data analysis and improvement priorities</t>
  </si>
  <si>
    <t>V7</t>
  </si>
  <si>
    <t>Implement priority fixes and repeat affected tests</t>
  </si>
  <si>
    <t>Failed TS criteria</t>
  </si>
  <si>
    <t>M6</t>
  </si>
  <si>
    <t>Team milestone: design and test evidence frozen</t>
  </si>
  <si>
    <t>Stakeholder preparation, final report and presentations</t>
  </si>
  <si>
    <t>D1</t>
  </si>
  <si>
    <t>Prepare stakeholder MVP presentation materials</t>
  </si>
  <si>
    <t>Actual stakeholder presentation date was not listed in the supplied Canvas view.</t>
  </si>
  <si>
    <t>D2</t>
  </si>
  <si>
    <t>Draft group report and requirement traceability</t>
  </si>
  <si>
    <t>Incorporate analysis Nov 16 and retest evidence Nov 23 as they become available.</t>
  </si>
  <si>
    <t>D3</t>
  </si>
  <si>
    <t>Draft individual reports and contributions</t>
  </si>
  <si>
    <t>Individual deliverable</t>
  </si>
  <si>
    <t>D4</t>
  </si>
  <si>
    <t>Review group/individual reports and final evidence</t>
  </si>
  <si>
    <t>M6, D2, D3</t>
  </si>
  <si>
    <t>D5</t>
  </si>
  <si>
    <t>Finish reports, CATME and Week 14 log</t>
  </si>
  <si>
    <t>Course deliverables</t>
  </si>
  <si>
    <t>M7</t>
  </si>
  <si>
    <t>Team milestone: reports ready to submit</t>
  </si>
  <si>
    <t>D6</t>
  </si>
  <si>
    <t>Build final slides and demonstration sequence</t>
  </si>
  <si>
    <t>D7</t>
  </si>
  <si>
    <t>Rehearse group and individual presentation parts</t>
  </si>
  <si>
    <t>M8</t>
  </si>
  <si>
    <t>Team milestone: final presentation ready</t>
  </si>
  <si>
    <t>D8</t>
  </si>
  <si>
    <t>Final presentation delivery / submission</t>
  </si>
  <si>
    <t>Josp</t>
  </si>
  <si>
    <t>Canvas lists 11:59 PM due time. Confirm the actual in-class presentation slot.</t>
  </si>
  <si>
    <t>Weekly project logs — preparation</t>
  </si>
  <si>
    <t>L6</t>
  </si>
  <si>
    <t>Maintain and submit Week 6 project log</t>
  </si>
  <si>
    <t>Course log</t>
  </si>
  <si>
    <t>Collect contributions during the week. Canvas submission due 11:59 PM on end date.</t>
  </si>
  <si>
    <t>L7</t>
  </si>
  <si>
    <t>Maintain and submit Week 7 project log</t>
  </si>
  <si>
    <t>L8</t>
  </si>
  <si>
    <t>Maintain and submit Week 8 project log</t>
  </si>
  <si>
    <t>L9</t>
  </si>
  <si>
    <t>Maintain and submit Week 9 project log</t>
  </si>
  <si>
    <t>L10</t>
  </si>
  <si>
    <t>Maintain and submit Week 10 project log</t>
  </si>
  <si>
    <t>L11</t>
  </si>
  <si>
    <t>Maintain and submit Week 11 project log</t>
  </si>
  <si>
    <t>L12</t>
  </si>
  <si>
    <t>Maintain and submit Week 12 project log</t>
  </si>
  <si>
    <t>L13</t>
  </si>
  <si>
    <t>Maintain and submit Week 13 project log</t>
  </si>
  <si>
    <t>L14</t>
  </si>
  <si>
    <t>Maintain and submit Week 14 project log</t>
  </si>
  <si>
    <t>Course milestones — confirmed from supplied Canvas attachment</t>
  </si>
  <si>
    <t>C1</t>
  </si>
  <si>
    <t>Concept Selection &amp; Gantt Chart</t>
  </si>
  <si>
    <t>Course milestone</t>
  </si>
  <si>
    <t>Due 11:59 PM, as displayed in Canvas.</t>
  </si>
  <si>
    <t>https://canvas.case.edu/courses/54050/assignments/757766</t>
  </si>
  <si>
    <t>C2</t>
  </si>
  <si>
    <t>Week 6 project log</t>
  </si>
  <si>
    <t>https://canvas.case.edu/courses/54050/assignments/757794</t>
  </si>
  <si>
    <t>C3</t>
  </si>
  <si>
    <t>System Architecture and Prototype Plan</t>
  </si>
  <si>
    <t>https://canvas.case.edu/courses/54050/assignments/757809</t>
  </si>
  <si>
    <t>C4</t>
  </si>
  <si>
    <t>Week 7 Team Progress Check-in: Prototypes 1 and 2</t>
  </si>
  <si>
    <t>Due 2:05 PM, as displayed in Canvas.</t>
  </si>
  <si>
    <t>https://canvas.case.edu/courses/54050/assignments/780841</t>
  </si>
  <si>
    <t>C5</t>
  </si>
  <si>
    <t>Week 7 project log</t>
  </si>
  <si>
    <t>https://canvas.case.edu/courses/54050/assignments/757795</t>
  </si>
  <si>
    <t>C6</t>
  </si>
  <si>
    <t>Verification and Validation Plan</t>
  </si>
  <si>
    <t>https://canvas.case.edu/courses/54050/assignments/757811</t>
  </si>
  <si>
    <t>C7</t>
  </si>
  <si>
    <t>Week 8 Team Progress Check-in: Prototype 3</t>
  </si>
  <si>
    <t>https://canvas.case.edu/courses/54050/assignments/780842</t>
  </si>
  <si>
    <t>C8</t>
  </si>
  <si>
    <t>Week 8 project log</t>
  </si>
  <si>
    <t>https://canvas.case.edu/courses/54050/assignments/757796</t>
  </si>
  <si>
    <t>C9</t>
  </si>
  <si>
    <t>Midterm Group Presentation</t>
  </si>
  <si>
    <t>https://canvas.case.edu/courses/54050/assignments/757799</t>
  </si>
  <si>
    <t>C10</t>
  </si>
  <si>
    <t>Midterm Individual Presentation Grade</t>
  </si>
  <si>
    <t>Due 3:00 PM, as displayed in Canvas.</t>
  </si>
  <si>
    <t>https://canvas.case.edu/courses/54050/assignments/757800</t>
  </si>
  <si>
    <t>C11</t>
  </si>
  <si>
    <t>Prototypes 1, 2, and 3</t>
  </si>
  <si>
    <t>https://canvas.case.edu/courses/54050/assignments/771306</t>
  </si>
  <si>
    <t>C12</t>
  </si>
  <si>
    <t>Week 9 project log</t>
  </si>
  <si>
    <t>https://canvas.case.edu/courses/54050/assignments/757797</t>
  </si>
  <si>
    <t>C13</t>
  </si>
  <si>
    <t>MVP (Minimally Viable Prototype)</t>
  </si>
  <si>
    <t>https://canvas.case.edu/courses/54050/assignments/757798</t>
  </si>
  <si>
    <t>C14</t>
  </si>
  <si>
    <t>Week 10 Team Progress Check-in: MVP</t>
  </si>
  <si>
    <t>https://canvas.case.edu/courses/54050/assignments/780843</t>
  </si>
  <si>
    <t>C15</t>
  </si>
  <si>
    <t>Week 10 project log</t>
  </si>
  <si>
    <t>https://canvas.case.edu/courses/54050/assignments/757785</t>
  </si>
  <si>
    <t>C16</t>
  </si>
  <si>
    <t>Week 11 Team Progress Check-in: Verification + Validation Testing</t>
  </si>
  <si>
    <t>https://canvas.case.edu/courses/54050/assignments/780844</t>
  </si>
  <si>
    <t>C17</t>
  </si>
  <si>
    <t>Week 11 project log</t>
  </si>
  <si>
    <t>https://canvas.case.edu/courses/54050/assignments/757786</t>
  </si>
  <si>
    <t>C18</t>
  </si>
  <si>
    <t>Validation Testing Checkpoint</t>
  </si>
  <si>
    <t>https://canvas.case.edu/courses/54050/assignments/757808</t>
  </si>
  <si>
    <t>C19</t>
  </si>
  <si>
    <t>Week 12 Team Progress Check-in: Data Analysis</t>
  </si>
  <si>
    <t>https://canvas.case.edu/courses/54050/assignments/780845</t>
  </si>
  <si>
    <t>C20</t>
  </si>
  <si>
    <t>Week 12 project log</t>
  </si>
  <si>
    <t>https://canvas.case.edu/courses/54050/assignments/757787</t>
  </si>
  <si>
    <t>C21</t>
  </si>
  <si>
    <t>Data Analysis Checkpoint</t>
  </si>
  <si>
    <t>https://canvas.case.edu/courses/54050/assignments/757768</t>
  </si>
  <si>
    <t>C22</t>
  </si>
  <si>
    <t>Week 13 Team Progress Check-in: Stakeholder MVP Presentation Preparations</t>
  </si>
  <si>
    <t>https://canvas.case.edu/courses/54050/assignments/780846</t>
  </si>
  <si>
    <t>C23</t>
  </si>
  <si>
    <t>Week 13 project log</t>
  </si>
  <si>
    <t>https://canvas.case.edu/courses/54050/assignments/757788</t>
  </si>
  <si>
    <t>C24</t>
  </si>
  <si>
    <t>Extra Credit Opportunity: End-of-Semester Course Evaluation</t>
  </si>
  <si>
    <t>Optional</t>
  </si>
  <si>
    <t>Due 11:59 PM, as displayed in Canvas. Optional extra credit.</t>
  </si>
  <si>
    <t>https://canvas.case.edu/courses/54050/assignments/757770</t>
  </si>
  <si>
    <t>C25</t>
  </si>
  <si>
    <t>Final report</t>
  </si>
  <si>
    <t>https://canvas.case.edu/courses/54050/assignments/757776</t>
  </si>
  <si>
    <t>C26</t>
  </si>
  <si>
    <t>CATME Peer Evaluation</t>
  </si>
  <si>
    <t>https://canvas.case.edu/courses/54050/assignments/757763</t>
  </si>
  <si>
    <t>C27</t>
  </si>
  <si>
    <t>Final report (individual)</t>
  </si>
  <si>
    <t>https://canvas.case.edu/courses/54050/assignments/757777</t>
  </si>
  <si>
    <t>C28</t>
  </si>
  <si>
    <t>Week 14 project log</t>
  </si>
  <si>
    <t>https://canvas.case.edu/courses/54050/assignments/757789</t>
  </si>
  <si>
    <t>C29</t>
  </si>
  <si>
    <t>Final presentation (group)</t>
  </si>
  <si>
    <t>https://canvas.case.edu/courses/54050/assignments/757774</t>
  </si>
  <si>
    <t>C30</t>
  </si>
  <si>
    <t>Final presentation (individual)</t>
  </si>
  <si>
    <t>https://canvas.case.edu/courses/54050/assignments/757775</t>
  </si>
</sst>
</file>

<file path=xl/styles.xml><?xml version="1.0" encoding="utf-8"?>
<styleSheet xmlns="http://schemas.openxmlformats.org/spreadsheetml/2006/main">
  <numFmts count="4">
    <numFmt numFmtId="164" formatCode="mm/dd/yy"/>
    <numFmt numFmtId="165" formatCode="mmm\ d"/>
    <numFmt numFmtId="166" formatCode=";;"/>
    <numFmt numFmtId="167" formatCode="mm/dd/yyyy"/>
  </numFmts>
  <fonts count="9">
    <font>
      <sz val="10.0"/>
      <color rgb="FF000000"/>
      <name val="Arial"/>
      <scheme val="minor"/>
    </font>
    <font>
      <sz val="10.0"/>
      <color rgb="FF263746"/>
      <name val="Arial"/>
    </font>
    <font>
      <b/>
      <sz val="16.0"/>
      <color rgb="FF536A85"/>
      <name val="Arial"/>
    </font>
    <font/>
    <font>
      <b/>
      <sz val="10.0"/>
      <color rgb="FFFFFFFF"/>
      <name val="Arial"/>
    </font>
    <font>
      <b/>
      <sz val="10.0"/>
      <color rgb="FF263746"/>
      <name val="Arial"/>
    </font>
    <font>
      <b/>
      <sz val="12"/>
      <color rgb="FF17365D"/>
      <name val="Arial"/>
      <scheme val="minor"/>
    </font>
    <font>
      <b/>
      <sz val="11"/>
      <color rgb="FFFFFFFF"/>
      <name val="Arial"/>
      <scheme val="minor"/>
    </font>
    <font>
      <sz val="11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ADEE"/>
        <bgColor rgb="FF00ADEE"/>
      </patternFill>
    </fill>
    <fill>
      <patternFill patternType="solid">
        <fgColor rgb="FFD9D9D9"/>
        <bgColor rgb="FFD9D9D9"/>
      </patternFill>
    </fill>
    <fill>
      <patternFill patternType="solid">
        <fgColor rgb="FFCDCDCD"/>
        <bgColor rgb="FFCDCDCD"/>
      </patternFill>
    </fill>
    <fill>
      <patternFill patternType="solid">
        <fgColor rgb="FFD9EAD3"/>
        <bgColor rgb="FFD9EAD3"/>
      </patternFill>
    </fill>
    <fill>
      <patternFill patternType="none"/>
    </fill>
    <fill>
      <patternFill patternType="solid">
        <fgColor rgb="FF17365D"/>
      </patternFill>
    </fill>
    <fill>
      <patternFill patternType="solid">
        <fgColor rgb="FFE8EFF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DCE3E9"/>
      </right>
      <top/>
      <bottom/>
    </border>
    <border>
      <right style="thin">
        <color rgb="FFDCE3E9"/>
      </right>
    </border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" fillId="2" fontId="1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165" xfId="0" applyAlignment="1" applyBorder="1" applyFill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4" fillId="6" fontId="1" numFmtId="9" xfId="0" applyAlignment="1" applyBorder="1" applyFill="1" applyFont="1" applyNumberFormat="1">
      <alignment shrinkToFit="0" vertical="center" wrapText="1"/>
    </xf>
    <xf borderId="0" fillId="0" fontId="1" numFmtId="166" xfId="0" applyAlignment="1" applyFont="1" applyNumberFormat="1">
      <alignment horizontal="center" vertical="center"/>
    </xf>
    <xf borderId="4" fillId="2" fontId="1" numFmtId="9" xfId="0" applyAlignment="1" applyBorder="1" applyFill="1" applyFont="1" applyNumberFormat="1">
      <alignment shrinkToFit="0" vertical="center" wrapText="1"/>
    </xf>
    <xf numFmtId="0" fontId="6" fillId="7" borderId="7" xfId="0" applyNumberFormat="1" applyFont="1" applyFill="1" applyBorder="1" applyAlignment="1">
      <alignment vertical="bottom" wrapText="0"/>
    </xf>
    <xf numFmtId="0" fontId="7" fillId="8" borderId="7" xfId="0" applyNumberFormat="1" applyFont="1" applyFill="1" applyBorder="1" applyAlignment="1">
      <alignment vertical="bottom" wrapText="1"/>
    </xf>
    <xf numFmtId="0" fontId="8" fillId="9" borderId="7" xfId="0" applyNumberFormat="1" applyFont="1" applyFill="1" applyBorder="1" applyAlignment="1">
      <alignment vertical="bottom" wrapText="1"/>
    </xf>
    <xf numFmtId="167" fontId="8" fillId="9" borderId="7" xfId="0" applyNumberFormat="1" applyFont="1" applyFill="1" applyBorder="1" applyAlignment="1">
      <alignment vertical="bottom" wrapText="1"/>
    </xf>
  </cellXfs>
  <cellStyles count="1">
    <cellStyle xfId="0" name="Normal" builtinId="0"/>
  </cellStyles>
  <dxfs count="2">
    <dxf>
      <font/>
      <fill>
        <patternFill patternType="solid">
          <fgColor rgb="FF58BDD2"/>
          <bgColor rgb="FF58BDD2"/>
        </patternFill>
      </fill>
      <border/>
    </dxf>
    <dxf>
      <font>
        <b/>
        <color rgb="FFFFFFFF"/>
      </font>
      <fill>
        <patternFill patternType="solid">
          <fgColor rgb="FF207D99"/>
          <bgColor rgb="FF207D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6.88"/>
    <col customWidth="1" min="2" max="2" width="48.75"/>
    <col customWidth="1" min="3" max="3" width="11.88"/>
    <col customWidth="1" min="4" max="4" width="13.75"/>
    <col customWidth="1" min="5" max="5" width="11.88"/>
    <col customWidth="1" min="6" max="6" width="14.38"/>
    <col customWidth="1" min="7" max="7" width="21.25"/>
    <col customWidth="1" min="8" max="8" width="17.75"/>
    <col customWidth="1" min="9" max="9" width="22.5"/>
    <col customWidth="1" min="10" max="10" width="9.38"/>
    <col customWidth="1" min="11" max="11" width="1.75"/>
    <col customWidth="1" min="12" max="22" width="8.0"/>
    <col customWidth="1" min="23" max="23" width="1.75"/>
    <col customWidth="1" min="24" max="24" width="52.5"/>
    <col customWidth="1" min="25" max="25" width="60.0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0.0" customHeight="1">
      <c r="A3" s="2" t="s"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2.0" customHeight="1">
      <c r="A4" s="1" t="s">
        <v>1</v>
      </c>
      <c r="W4" s="1"/>
      <c r="X4" s="1" t="s">
        <v>2</v>
      </c>
      <c r="Y4" s="3">
        <v>46365.0</v>
      </c>
    </row>
    <row r="5" ht="24.75" customHeight="1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1"/>
      <c r="X5" s="1"/>
      <c r="Y5" s="1"/>
    </row>
    <row r="6" ht="12.0" customHeight="1">
      <c r="A6" s="1" t="s">
        <v>4</v>
      </c>
      <c r="W6" s="1"/>
      <c r="X6" s="1"/>
      <c r="Y6" s="1"/>
    </row>
    <row r="7" ht="31.5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8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9"/>
      <c r="L7" s="10" t="s">
        <v>15</v>
      </c>
      <c r="M7" s="10" t="s">
        <v>16</v>
      </c>
      <c r="N7" s="10" t="s">
        <v>17</v>
      </c>
      <c r="O7" s="10" t="s">
        <v>18</v>
      </c>
      <c r="P7" s="10" t="s">
        <v>19</v>
      </c>
      <c r="Q7" s="10" t="s">
        <v>20</v>
      </c>
      <c r="R7" s="10" t="s">
        <v>21</v>
      </c>
      <c r="S7" s="10" t="s">
        <v>22</v>
      </c>
      <c r="T7" s="10" t="s">
        <v>23</v>
      </c>
      <c r="U7" s="10" t="s">
        <v>24</v>
      </c>
      <c r="V7" s="10" t="s">
        <v>25</v>
      </c>
      <c r="W7" s="9"/>
      <c r="X7" s="9" t="s">
        <v>26</v>
      </c>
      <c r="Y7" s="9" t="s">
        <v>27</v>
      </c>
    </row>
    <row r="8" ht="21.75" customHeight="1">
      <c r="A8" s="7"/>
      <c r="B8" s="7"/>
      <c r="C8" s="7"/>
      <c r="D8" s="7"/>
      <c r="E8" s="7"/>
      <c r="F8" s="8"/>
      <c r="G8" s="7"/>
      <c r="H8" s="7"/>
      <c r="I8" s="7"/>
      <c r="J8" s="7"/>
      <c r="K8" s="9"/>
      <c r="L8" s="11">
        <v>46293.0</v>
      </c>
      <c r="M8" s="11">
        <v>46300.0</v>
      </c>
      <c r="N8" s="11">
        <v>46307.0</v>
      </c>
      <c r="O8" s="11">
        <v>46314.0</v>
      </c>
      <c r="P8" s="11">
        <v>46321.0</v>
      </c>
      <c r="Q8" s="11">
        <v>46328.0</v>
      </c>
      <c r="R8" s="11">
        <v>46335.0</v>
      </c>
      <c r="S8" s="11">
        <v>46342.0</v>
      </c>
      <c r="T8" s="11">
        <v>46349.0</v>
      </c>
      <c r="U8" s="11">
        <v>46356.0</v>
      </c>
      <c r="V8" s="11">
        <v>46363.0</v>
      </c>
      <c r="W8" s="9"/>
      <c r="X8" s="9"/>
      <c r="Y8" s="9"/>
    </row>
    <row r="9" ht="24.75" customHeight="1">
      <c r="A9" s="12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1"/>
      <c r="X9" s="1"/>
      <c r="Y9" s="1"/>
    </row>
    <row r="10" ht="42.0" customHeight="1">
      <c r="A10" s="1" t="s">
        <v>29</v>
      </c>
      <c r="B10" s="13" t="s">
        <v>30</v>
      </c>
      <c r="C10" s="14">
        <v>46293.0</v>
      </c>
      <c r="D10" s="13">
        <f t="shared" ref="D10:D14" si="2">DAY(C10)</f>
        <v>28</v>
      </c>
      <c r="E10" s="14">
        <v>46293.0</v>
      </c>
      <c r="F10" s="15">
        <f t="shared" ref="F10:F14" si="3">IF(OR(C10="",E10=""),"",E10-C10+1)</f>
        <v>1</v>
      </c>
      <c r="G10" s="9">
        <f t="shared" ref="G10:G14" si="4">IF(((E10)=""),"",(J10)*(E10-C10))</f>
        <v>0</v>
      </c>
      <c r="H10" s="13">
        <f t="shared" ref="H10:H14" si="5">IF(G10="","",(E10-C10)-G10)</f>
        <v>0</v>
      </c>
      <c r="I10" s="16" t="s">
        <v>31</v>
      </c>
      <c r="J10" s="17"/>
      <c r="K10" s="1"/>
      <c r="L10" s="18">
        <f t="shared" ref="L10:V10" si="1">IF(OR($C10="",$E10=""),"",IF(AND($C10&lt;=MIN(L$8+6,$Y$4),$E10&gt;=L$8),IF(OR($D10="Team milestone",$D10="Course milestone"),"M",1),""))</f>
        <v>1</v>
      </c>
      <c r="M10" s="18" t="str">
        <f t="shared" si="1"/>
        <v/>
      </c>
      <c r="N10" s="18" t="str">
        <f t="shared" si="1"/>
        <v/>
      </c>
      <c r="O10" s="18" t="str">
        <f t="shared" si="1"/>
        <v/>
      </c>
      <c r="P10" s="18" t="str">
        <f t="shared" si="1"/>
        <v/>
      </c>
      <c r="Q10" s="18" t="str">
        <f t="shared" si="1"/>
        <v/>
      </c>
      <c r="R10" s="18" t="str">
        <f t="shared" si="1"/>
        <v/>
      </c>
      <c r="S10" s="18" t="str">
        <f t="shared" si="1"/>
        <v/>
      </c>
      <c r="T10" s="18" t="str">
        <f t="shared" si="1"/>
        <v/>
      </c>
      <c r="U10" s="18" t="str">
        <f t="shared" si="1"/>
        <v/>
      </c>
      <c r="V10" s="18" t="str">
        <f t="shared" si="1"/>
        <v/>
      </c>
      <c r="W10" s="1"/>
      <c r="X10" s="13" t="s">
        <v>32</v>
      </c>
      <c r="Y10" s="13"/>
    </row>
    <row r="11" ht="42.0" customHeight="1">
      <c r="A11" s="1" t="s">
        <v>33</v>
      </c>
      <c r="B11" s="13" t="s">
        <v>34</v>
      </c>
      <c r="C11" s="14">
        <v>46294.0</v>
      </c>
      <c r="D11" s="13">
        <f t="shared" si="2"/>
        <v>29</v>
      </c>
      <c r="E11" s="14">
        <v>46296.0</v>
      </c>
      <c r="F11" s="15">
        <f t="shared" si="3"/>
        <v>3</v>
      </c>
      <c r="G11" s="9">
        <f t="shared" si="4"/>
        <v>0</v>
      </c>
      <c r="H11" s="13">
        <f t="shared" si="5"/>
        <v>2</v>
      </c>
      <c r="I11" s="16" t="s">
        <v>31</v>
      </c>
      <c r="J11" s="17"/>
      <c r="K11" s="1"/>
      <c r="L11" s="18">
        <f t="shared" ref="L11:V11" si="6">IF(OR($C11="",$E11=""),"",IF(AND($C11&lt;=MIN(L$8+6,$Y$4),$E11&gt;=L$8),IF(OR($D11="Team milestone",$D11="Course milestone"),"M",1),""))</f>
        <v>1</v>
      </c>
      <c r="M11" s="18" t="str">
        <f t="shared" si="6"/>
        <v/>
      </c>
      <c r="N11" s="18" t="str">
        <f t="shared" si="6"/>
        <v/>
      </c>
      <c r="O11" s="18" t="str">
        <f t="shared" si="6"/>
        <v/>
      </c>
      <c r="P11" s="18" t="str">
        <f t="shared" si="6"/>
        <v/>
      </c>
      <c r="Q11" s="18" t="str">
        <f t="shared" si="6"/>
        <v/>
      </c>
      <c r="R11" s="18" t="str">
        <f t="shared" si="6"/>
        <v/>
      </c>
      <c r="S11" s="18" t="str">
        <f t="shared" si="6"/>
        <v/>
      </c>
      <c r="T11" s="18" t="str">
        <f t="shared" si="6"/>
        <v/>
      </c>
      <c r="U11" s="18" t="str">
        <f t="shared" si="6"/>
        <v/>
      </c>
      <c r="V11" s="18" t="str">
        <f t="shared" si="6"/>
        <v/>
      </c>
      <c r="W11" s="1"/>
      <c r="X11" s="13"/>
      <c r="Y11" s="13"/>
    </row>
    <row r="12" ht="42.0" customHeight="1">
      <c r="A12" s="1" t="s">
        <v>35</v>
      </c>
      <c r="B12" s="13" t="s">
        <v>36</v>
      </c>
      <c r="C12" s="14">
        <v>46297.0</v>
      </c>
      <c r="D12" s="13">
        <f t="shared" si="2"/>
        <v>2</v>
      </c>
      <c r="E12" s="14">
        <v>46300.0</v>
      </c>
      <c r="F12" s="15">
        <f t="shared" si="3"/>
        <v>4</v>
      </c>
      <c r="G12" s="9">
        <f t="shared" si="4"/>
        <v>0</v>
      </c>
      <c r="H12" s="13">
        <f t="shared" si="5"/>
        <v>3</v>
      </c>
      <c r="I12" s="16" t="s">
        <v>31</v>
      </c>
      <c r="J12" s="17"/>
      <c r="K12" s="1"/>
      <c r="L12" s="18">
        <f t="shared" ref="L12:V12" si="7">IF(OR($C12="",$E12=""),"",IF(AND($C12&lt;=MIN(L$8+6,$Y$4),$E12&gt;=L$8),IF(OR($D12="Team milestone",$D12="Course milestone"),"M",1),""))</f>
        <v>1</v>
      </c>
      <c r="M12" s="18">
        <f t="shared" si="7"/>
        <v>1</v>
      </c>
      <c r="N12" s="18" t="str">
        <f t="shared" si="7"/>
        <v/>
      </c>
      <c r="O12" s="18" t="str">
        <f t="shared" si="7"/>
        <v/>
      </c>
      <c r="P12" s="18" t="str">
        <f t="shared" si="7"/>
        <v/>
      </c>
      <c r="Q12" s="18" t="str">
        <f t="shared" si="7"/>
        <v/>
      </c>
      <c r="R12" s="18" t="str">
        <f t="shared" si="7"/>
        <v/>
      </c>
      <c r="S12" s="18" t="str">
        <f t="shared" si="7"/>
        <v/>
      </c>
      <c r="T12" s="18" t="str">
        <f t="shared" si="7"/>
        <v/>
      </c>
      <c r="U12" s="18" t="str">
        <f t="shared" si="7"/>
        <v/>
      </c>
      <c r="V12" s="18" t="str">
        <f t="shared" si="7"/>
        <v/>
      </c>
      <c r="W12" s="1"/>
      <c r="X12" s="13" t="s">
        <v>37</v>
      </c>
      <c r="Y12" s="13"/>
    </row>
    <row r="13" ht="42.0" customHeight="1">
      <c r="A13" s="1" t="s">
        <v>38</v>
      </c>
      <c r="B13" s="13" t="s">
        <v>39</v>
      </c>
      <c r="C13" s="14">
        <v>46301.0</v>
      </c>
      <c r="D13" s="13">
        <f t="shared" si="2"/>
        <v>6</v>
      </c>
      <c r="E13" s="14">
        <v>46304.0</v>
      </c>
      <c r="F13" s="15">
        <f t="shared" si="3"/>
        <v>4</v>
      </c>
      <c r="G13" s="9">
        <f t="shared" si="4"/>
        <v>0</v>
      </c>
      <c r="H13" s="13">
        <f t="shared" si="5"/>
        <v>3</v>
      </c>
      <c r="I13" s="16" t="s">
        <v>31</v>
      </c>
      <c r="J13" s="19"/>
      <c r="K13" s="1"/>
      <c r="L13" s="18" t="str">
        <f t="shared" ref="L13:V13" si="8">IF(OR($C13="",$E13=""),"",IF(AND($C13&lt;=MIN(L$8+6,$Y$4),$E13&gt;=L$8),IF(OR($D13="Team milestone",$D13="Course milestone"),"M",1),""))</f>
        <v/>
      </c>
      <c r="M13" s="18">
        <f t="shared" si="8"/>
        <v>1</v>
      </c>
      <c r="N13" s="18" t="str">
        <f t="shared" si="8"/>
        <v/>
      </c>
      <c r="O13" s="18" t="str">
        <f t="shared" si="8"/>
        <v/>
      </c>
      <c r="P13" s="18" t="str">
        <f t="shared" si="8"/>
        <v/>
      </c>
      <c r="Q13" s="18" t="str">
        <f t="shared" si="8"/>
        <v/>
      </c>
      <c r="R13" s="18" t="str">
        <f t="shared" si="8"/>
        <v/>
      </c>
      <c r="S13" s="18" t="str">
        <f t="shared" si="8"/>
        <v/>
      </c>
      <c r="T13" s="18" t="str">
        <f t="shared" si="8"/>
        <v/>
      </c>
      <c r="U13" s="18" t="str">
        <f t="shared" si="8"/>
        <v/>
      </c>
      <c r="V13" s="18" t="str">
        <f t="shared" si="8"/>
        <v/>
      </c>
      <c r="W13" s="1"/>
      <c r="X13" s="13"/>
      <c r="Y13" s="13"/>
    </row>
    <row r="14" ht="42.0" customHeight="1">
      <c r="A14" s="1" t="s">
        <v>40</v>
      </c>
      <c r="B14" s="13" t="s">
        <v>41</v>
      </c>
      <c r="C14" s="14">
        <v>46307.0</v>
      </c>
      <c r="D14" s="13">
        <f t="shared" si="2"/>
        <v>12</v>
      </c>
      <c r="E14" s="14">
        <v>46307.0</v>
      </c>
      <c r="F14" s="15">
        <f t="shared" si="3"/>
        <v>1</v>
      </c>
      <c r="G14" s="9">
        <f t="shared" si="4"/>
        <v>0</v>
      </c>
      <c r="H14" s="13">
        <f t="shared" si="5"/>
        <v>0</v>
      </c>
      <c r="I14" s="16" t="s">
        <v>31</v>
      </c>
      <c r="J14" s="19"/>
      <c r="K14" s="1"/>
      <c r="L14" s="18" t="str">
        <f t="shared" ref="L14:V14" si="9">IF(OR($C14="",$E14=""),"",IF(AND($C14&lt;=MIN(L$8+6,$Y$4),$E14&gt;=L$8),IF(OR($D14="Team milestone",$D14="Course milestone"),"M",1),""))</f>
        <v/>
      </c>
      <c r="M14" s="18" t="str">
        <f t="shared" si="9"/>
        <v/>
      </c>
      <c r="N14" s="18">
        <f t="shared" si="9"/>
        <v>1</v>
      </c>
      <c r="O14" s="18" t="str">
        <f t="shared" si="9"/>
        <v/>
      </c>
      <c r="P14" s="18" t="str">
        <f t="shared" si="9"/>
        <v/>
      </c>
      <c r="Q14" s="18" t="str">
        <f t="shared" si="9"/>
        <v/>
      </c>
      <c r="R14" s="18" t="str">
        <f t="shared" si="9"/>
        <v/>
      </c>
      <c r="S14" s="18" t="str">
        <f t="shared" si="9"/>
        <v/>
      </c>
      <c r="T14" s="18" t="str">
        <f t="shared" si="9"/>
        <v/>
      </c>
      <c r="U14" s="18" t="str">
        <f t="shared" si="9"/>
        <v/>
      </c>
      <c r="V14" s="18" t="str">
        <f t="shared" si="9"/>
        <v/>
      </c>
      <c r="W14" s="1"/>
      <c r="X14" s="13"/>
      <c r="Y14" s="13"/>
    </row>
    <row r="15" ht="24.75" customHeight="1">
      <c r="A15" s="12" t="s">
        <v>42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1"/>
      <c r="X15" s="1"/>
      <c r="Y15" s="1"/>
    </row>
    <row r="16" ht="42.0" customHeight="1">
      <c r="A16" s="1" t="s">
        <v>43</v>
      </c>
      <c r="B16" s="13" t="s">
        <v>44</v>
      </c>
      <c r="C16" s="14">
        <v>46294.0</v>
      </c>
      <c r="D16" s="13">
        <f t="shared" ref="D16:D19" si="11">DAY(C16)</f>
        <v>29</v>
      </c>
      <c r="E16" s="14">
        <v>46297.0</v>
      </c>
      <c r="F16" s="15">
        <f t="shared" ref="F16:F19" si="12">IF(OR(C16="",E16=""),"",E16-C16+1)</f>
        <v>4</v>
      </c>
      <c r="G16" s="9">
        <f t="shared" ref="G16:G19" si="13">IF(((E16)=""),"",(J16)*(E16-C16))</f>
        <v>0</v>
      </c>
      <c r="H16" s="13">
        <f t="shared" ref="H16:H19" si="14">IF(G16="","",(E16-C16)-G16)</f>
        <v>3</v>
      </c>
      <c r="I16" s="16" t="s">
        <v>31</v>
      </c>
      <c r="J16" s="19"/>
      <c r="K16" s="1"/>
      <c r="L16" s="18">
        <f t="shared" ref="L16:V16" si="10">IF(OR($C16="",$E16=""),"",IF(AND($C16&lt;=MIN(L$8+6,$Y$4),$E16&gt;=L$8),IF(OR($D16="Team milestone",$D16="Course milestone"),"M",1),""))</f>
        <v>1</v>
      </c>
      <c r="M16" s="18" t="str">
        <f t="shared" si="10"/>
        <v/>
      </c>
      <c r="N16" s="18" t="str">
        <f t="shared" si="10"/>
        <v/>
      </c>
      <c r="O16" s="18" t="str">
        <f t="shared" si="10"/>
        <v/>
      </c>
      <c r="P16" s="18" t="str">
        <f t="shared" si="10"/>
        <v/>
      </c>
      <c r="Q16" s="18" t="str">
        <f t="shared" si="10"/>
        <v/>
      </c>
      <c r="R16" s="18" t="str">
        <f t="shared" si="10"/>
        <v/>
      </c>
      <c r="S16" s="18" t="str">
        <f t="shared" si="10"/>
        <v/>
      </c>
      <c r="T16" s="18" t="str">
        <f t="shared" si="10"/>
        <v/>
      </c>
      <c r="U16" s="18" t="str">
        <f t="shared" si="10"/>
        <v/>
      </c>
      <c r="V16" s="18" t="str">
        <f t="shared" si="10"/>
        <v/>
      </c>
      <c r="W16" s="1"/>
      <c r="X16" s="13"/>
      <c r="Y16" s="13"/>
    </row>
    <row r="17" ht="42.0" customHeight="1">
      <c r="A17" s="1" t="s">
        <v>45</v>
      </c>
      <c r="B17" s="13" t="s">
        <v>46</v>
      </c>
      <c r="C17" s="14">
        <v>46300.0</v>
      </c>
      <c r="D17" s="13">
        <f t="shared" si="11"/>
        <v>5</v>
      </c>
      <c r="E17" s="14">
        <v>46302.0</v>
      </c>
      <c r="F17" s="15">
        <f t="shared" si="12"/>
        <v>3</v>
      </c>
      <c r="G17" s="9">
        <f t="shared" si="13"/>
        <v>0</v>
      </c>
      <c r="H17" s="13">
        <f t="shared" si="14"/>
        <v>2</v>
      </c>
      <c r="I17" s="16" t="s">
        <v>47</v>
      </c>
      <c r="J17" s="19"/>
      <c r="K17" s="1"/>
      <c r="L17" s="18" t="str">
        <f t="shared" ref="L17:V17" si="15">IF(OR($C17="",$E17=""),"",IF(AND($C17&lt;=MIN(L$8+6,$Y$4),$E17&gt;=L$8),IF(OR($D17="Team milestone",$D17="Course milestone"),"M",1),""))</f>
        <v/>
      </c>
      <c r="M17" s="18">
        <f t="shared" si="15"/>
        <v>1</v>
      </c>
      <c r="N17" s="18" t="str">
        <f t="shared" si="15"/>
        <v/>
      </c>
      <c r="O17" s="18" t="str">
        <f t="shared" si="15"/>
        <v/>
      </c>
      <c r="P17" s="18" t="str">
        <f t="shared" si="15"/>
        <v/>
      </c>
      <c r="Q17" s="18" t="str">
        <f t="shared" si="15"/>
        <v/>
      </c>
      <c r="R17" s="18" t="str">
        <f t="shared" si="15"/>
        <v/>
      </c>
      <c r="S17" s="18" t="str">
        <f t="shared" si="15"/>
        <v/>
      </c>
      <c r="T17" s="18" t="str">
        <f t="shared" si="15"/>
        <v/>
      </c>
      <c r="U17" s="18" t="str">
        <f t="shared" si="15"/>
        <v/>
      </c>
      <c r="V17" s="18" t="str">
        <f t="shared" si="15"/>
        <v/>
      </c>
      <c r="W17" s="1"/>
      <c r="X17" s="13" t="s">
        <v>48</v>
      </c>
      <c r="Y17" s="13"/>
    </row>
    <row r="18" ht="42.0" customHeight="1">
      <c r="A18" s="1" t="s">
        <v>49</v>
      </c>
      <c r="B18" s="13" t="s">
        <v>50</v>
      </c>
      <c r="C18" s="14">
        <v>46303.0</v>
      </c>
      <c r="D18" s="13">
        <f t="shared" si="11"/>
        <v>8</v>
      </c>
      <c r="E18" s="14">
        <v>46303.0</v>
      </c>
      <c r="F18" s="15">
        <f t="shared" si="12"/>
        <v>1</v>
      </c>
      <c r="G18" s="9">
        <f t="shared" si="13"/>
        <v>0</v>
      </c>
      <c r="H18" s="13">
        <f t="shared" si="14"/>
        <v>0</v>
      </c>
      <c r="I18" s="16" t="s">
        <v>31</v>
      </c>
      <c r="J18" s="19"/>
      <c r="K18" s="1"/>
      <c r="L18" s="18" t="str">
        <f t="shared" ref="L18:V18" si="16">IF(OR($C18="",$E18=""),"",IF(AND($C18&lt;=MIN(L$8+6,$Y$4),$E18&gt;=L$8),IF(OR($D18="Team milestone",$D18="Course milestone"),"M",1),""))</f>
        <v/>
      </c>
      <c r="M18" s="18">
        <f t="shared" si="16"/>
        <v>1</v>
      </c>
      <c r="N18" s="18" t="str">
        <f t="shared" si="16"/>
        <v/>
      </c>
      <c r="O18" s="18" t="str">
        <f t="shared" si="16"/>
        <v/>
      </c>
      <c r="P18" s="18" t="str">
        <f t="shared" si="16"/>
        <v/>
      </c>
      <c r="Q18" s="18" t="str">
        <f t="shared" si="16"/>
        <v/>
      </c>
      <c r="R18" s="18" t="str">
        <f t="shared" si="16"/>
        <v/>
      </c>
      <c r="S18" s="18" t="str">
        <f t="shared" si="16"/>
        <v/>
      </c>
      <c r="T18" s="18" t="str">
        <f t="shared" si="16"/>
        <v/>
      </c>
      <c r="U18" s="18" t="str">
        <f t="shared" si="16"/>
        <v/>
      </c>
      <c r="V18" s="18" t="str">
        <f t="shared" si="16"/>
        <v/>
      </c>
      <c r="W18" s="1"/>
      <c r="X18" s="13"/>
      <c r="Y18" s="13"/>
    </row>
    <row r="19" ht="42.0" customHeight="1">
      <c r="A19" s="1" t="s">
        <v>51</v>
      </c>
      <c r="B19" s="13" t="s">
        <v>52</v>
      </c>
      <c r="C19" s="14">
        <v>46307.0</v>
      </c>
      <c r="D19" s="13">
        <f t="shared" si="11"/>
        <v>12</v>
      </c>
      <c r="E19" s="14">
        <v>46311.0</v>
      </c>
      <c r="F19" s="15">
        <f t="shared" si="12"/>
        <v>5</v>
      </c>
      <c r="G19" s="9">
        <f t="shared" si="13"/>
        <v>0</v>
      </c>
      <c r="H19" s="13">
        <f t="shared" si="14"/>
        <v>4</v>
      </c>
      <c r="I19" s="16" t="s">
        <v>31</v>
      </c>
      <c r="J19" s="19"/>
      <c r="K19" s="1"/>
      <c r="L19" s="18" t="str">
        <f t="shared" ref="L19:V19" si="17">IF(OR($C19="",$E19=""),"",IF(AND($C19&lt;=MIN(L$8+6,$Y$4),$E19&gt;=L$8),IF(OR($D19="Team milestone",$D19="Course milestone"),"M",1),""))</f>
        <v/>
      </c>
      <c r="M19" s="18" t="str">
        <f t="shared" si="17"/>
        <v/>
      </c>
      <c r="N19" s="18">
        <f t="shared" si="17"/>
        <v>1</v>
      </c>
      <c r="O19" s="18" t="str">
        <f t="shared" si="17"/>
        <v/>
      </c>
      <c r="P19" s="18" t="str">
        <f t="shared" si="17"/>
        <v/>
      </c>
      <c r="Q19" s="18" t="str">
        <f t="shared" si="17"/>
        <v/>
      </c>
      <c r="R19" s="18" t="str">
        <f t="shared" si="17"/>
        <v/>
      </c>
      <c r="S19" s="18" t="str">
        <f t="shared" si="17"/>
        <v/>
      </c>
      <c r="T19" s="18" t="str">
        <f t="shared" si="17"/>
        <v/>
      </c>
      <c r="U19" s="18" t="str">
        <f t="shared" si="17"/>
        <v/>
      </c>
      <c r="V19" s="18" t="str">
        <f t="shared" si="17"/>
        <v/>
      </c>
      <c r="W19" s="1"/>
      <c r="X19" s="13"/>
      <c r="Y19" s="13"/>
    </row>
    <row r="20" ht="24.75" customHeight="1">
      <c r="A20" s="12" t="s">
        <v>53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1"/>
      <c r="X20" s="1"/>
      <c r="Y20" s="1"/>
    </row>
    <row r="21" ht="42.0" customHeight="1">
      <c r="A21" s="1" t="s">
        <v>54</v>
      </c>
      <c r="B21" s="13" t="s">
        <v>55</v>
      </c>
      <c r="C21" s="14">
        <v>46294.0</v>
      </c>
      <c r="D21" s="13">
        <f t="shared" ref="D21:D24" si="19">DAY(C21)</f>
        <v>29</v>
      </c>
      <c r="E21" s="14">
        <v>46297.0</v>
      </c>
      <c r="F21" s="15">
        <f t="shared" ref="F21:F24" si="20">IF(OR(C21="",E21=""),"",E21-C21+1)</f>
        <v>4</v>
      </c>
      <c r="G21" s="9">
        <f t="shared" ref="G21:G24" si="21">IF(((E21)=""),"",(J21)*(E21-C21))</f>
        <v>0</v>
      </c>
      <c r="H21" s="13">
        <f t="shared" ref="H21:H24" si="22">IF(G21="","",(E21-C21)-G21)</f>
        <v>3</v>
      </c>
      <c r="I21" s="16" t="s">
        <v>31</v>
      </c>
      <c r="J21" s="19"/>
      <c r="K21" s="1"/>
      <c r="L21" s="18">
        <f t="shared" ref="L21:V21" si="18">IF(OR($C21="",$E21=""),"",IF(AND($C21&lt;=MIN(L$8+6,$Y$4),$E21&gt;=L$8),IF(OR($D21="Team milestone",$D21="Course milestone"),"M",1),""))</f>
        <v>1</v>
      </c>
      <c r="M21" s="18" t="str">
        <f t="shared" si="18"/>
        <v/>
      </c>
      <c r="N21" s="18" t="str">
        <f t="shared" si="18"/>
        <v/>
      </c>
      <c r="O21" s="18" t="str">
        <f t="shared" si="18"/>
        <v/>
      </c>
      <c r="P21" s="18" t="str">
        <f t="shared" si="18"/>
        <v/>
      </c>
      <c r="Q21" s="18" t="str">
        <f t="shared" si="18"/>
        <v/>
      </c>
      <c r="R21" s="18" t="str">
        <f t="shared" si="18"/>
        <v/>
      </c>
      <c r="S21" s="18" t="str">
        <f t="shared" si="18"/>
        <v/>
      </c>
      <c r="T21" s="18" t="str">
        <f t="shared" si="18"/>
        <v/>
      </c>
      <c r="U21" s="18" t="str">
        <f t="shared" si="18"/>
        <v/>
      </c>
      <c r="V21" s="18" t="str">
        <f t="shared" si="18"/>
        <v/>
      </c>
      <c r="W21" s="1"/>
      <c r="X21" s="13"/>
      <c r="Y21" s="13"/>
    </row>
    <row r="22" ht="42.0" customHeight="1">
      <c r="A22" s="1" t="s">
        <v>56</v>
      </c>
      <c r="B22" s="13" t="s">
        <v>57</v>
      </c>
      <c r="C22" s="14">
        <v>46300.0</v>
      </c>
      <c r="D22" s="13">
        <f t="shared" si="19"/>
        <v>5</v>
      </c>
      <c r="E22" s="14">
        <v>46302.0</v>
      </c>
      <c r="F22" s="15">
        <f t="shared" si="20"/>
        <v>3</v>
      </c>
      <c r="G22" s="9">
        <f t="shared" si="21"/>
        <v>0</v>
      </c>
      <c r="H22" s="13">
        <f t="shared" si="22"/>
        <v>2</v>
      </c>
      <c r="I22" s="16" t="s">
        <v>31</v>
      </c>
      <c r="J22" s="19"/>
      <c r="K22" s="1"/>
      <c r="L22" s="18" t="str">
        <f t="shared" ref="L22:V22" si="23">IF(OR($C22="",$E22=""),"",IF(AND($C22&lt;=MIN(L$8+6,$Y$4),$E22&gt;=L$8),IF(OR($D22="Team milestone",$D22="Course milestone"),"M",1),""))</f>
        <v/>
      </c>
      <c r="M22" s="18">
        <f t="shared" si="23"/>
        <v>1</v>
      </c>
      <c r="N22" s="18" t="str">
        <f t="shared" si="23"/>
        <v/>
      </c>
      <c r="O22" s="18" t="str">
        <f t="shared" si="23"/>
        <v/>
      </c>
      <c r="P22" s="18" t="str">
        <f t="shared" si="23"/>
        <v/>
      </c>
      <c r="Q22" s="18" t="str">
        <f t="shared" si="23"/>
        <v/>
      </c>
      <c r="R22" s="18" t="str">
        <f t="shared" si="23"/>
        <v/>
      </c>
      <c r="S22" s="18" t="str">
        <f t="shared" si="23"/>
        <v/>
      </c>
      <c r="T22" s="18" t="str">
        <f t="shared" si="23"/>
        <v/>
      </c>
      <c r="U22" s="18" t="str">
        <f t="shared" si="23"/>
        <v/>
      </c>
      <c r="V22" s="18" t="str">
        <f t="shared" si="23"/>
        <v/>
      </c>
      <c r="W22" s="1"/>
      <c r="X22" s="13"/>
      <c r="Y22" s="13"/>
    </row>
    <row r="23" ht="42.0" customHeight="1">
      <c r="A23" s="1" t="s">
        <v>58</v>
      </c>
      <c r="B23" s="13" t="s">
        <v>59</v>
      </c>
      <c r="C23" s="14">
        <v>46303.0</v>
      </c>
      <c r="D23" s="13">
        <f t="shared" si="19"/>
        <v>8</v>
      </c>
      <c r="E23" s="14">
        <v>46303.0</v>
      </c>
      <c r="F23" s="15">
        <f t="shared" si="20"/>
        <v>1</v>
      </c>
      <c r="G23" s="9">
        <f t="shared" si="21"/>
        <v>0</v>
      </c>
      <c r="H23" s="13">
        <f t="shared" si="22"/>
        <v>0</v>
      </c>
      <c r="I23" s="16" t="s">
        <v>31</v>
      </c>
      <c r="J23" s="19"/>
      <c r="K23" s="1"/>
      <c r="L23" s="18" t="str">
        <f t="shared" ref="L23:V23" si="24">IF(OR($C23="",$E23=""),"",IF(AND($C23&lt;=MIN(L$8+6,$Y$4),$E23&gt;=L$8),IF(OR($D23="Team milestone",$D23="Course milestone"),"M",1),""))</f>
        <v/>
      </c>
      <c r="M23" s="18">
        <f t="shared" si="24"/>
        <v>1</v>
      </c>
      <c r="N23" s="18" t="str">
        <f t="shared" si="24"/>
        <v/>
      </c>
      <c r="O23" s="18" t="str">
        <f t="shared" si="24"/>
        <v/>
      </c>
      <c r="P23" s="18" t="str">
        <f t="shared" si="24"/>
        <v/>
      </c>
      <c r="Q23" s="18" t="str">
        <f t="shared" si="24"/>
        <v/>
      </c>
      <c r="R23" s="18" t="str">
        <f t="shared" si="24"/>
        <v/>
      </c>
      <c r="S23" s="18" t="str">
        <f t="shared" si="24"/>
        <v/>
      </c>
      <c r="T23" s="18" t="str">
        <f t="shared" si="24"/>
        <v/>
      </c>
      <c r="U23" s="18" t="str">
        <f t="shared" si="24"/>
        <v/>
      </c>
      <c r="V23" s="18" t="str">
        <f t="shared" si="24"/>
        <v/>
      </c>
      <c r="W23" s="1"/>
      <c r="X23" s="13"/>
      <c r="Y23" s="13"/>
    </row>
    <row r="24" ht="42.0" customHeight="1">
      <c r="A24" s="1" t="s">
        <v>60</v>
      </c>
      <c r="B24" s="13" t="s">
        <v>61</v>
      </c>
      <c r="C24" s="14">
        <v>46307.0</v>
      </c>
      <c r="D24" s="13">
        <f t="shared" si="19"/>
        <v>12</v>
      </c>
      <c r="E24" s="14">
        <v>46311.0</v>
      </c>
      <c r="F24" s="15">
        <f t="shared" si="20"/>
        <v>5</v>
      </c>
      <c r="G24" s="9">
        <f t="shared" si="21"/>
        <v>0</v>
      </c>
      <c r="H24" s="13">
        <f t="shared" si="22"/>
        <v>4</v>
      </c>
      <c r="I24" s="16" t="s">
        <v>31</v>
      </c>
      <c r="J24" s="19"/>
      <c r="K24" s="1"/>
      <c r="L24" s="18" t="str">
        <f t="shared" ref="L24:V24" si="25">IF(OR($C24="",$E24=""),"",IF(AND($C24&lt;=MIN(L$8+6,$Y$4),$E24&gt;=L$8),IF(OR($D24="Team milestone",$D24="Course milestone"),"M",1),""))</f>
        <v/>
      </c>
      <c r="M24" s="18" t="str">
        <f t="shared" si="25"/>
        <v/>
      </c>
      <c r="N24" s="18">
        <f t="shared" si="25"/>
        <v>1</v>
      </c>
      <c r="O24" s="18" t="str">
        <f t="shared" si="25"/>
        <v/>
      </c>
      <c r="P24" s="18" t="str">
        <f t="shared" si="25"/>
        <v/>
      </c>
      <c r="Q24" s="18" t="str">
        <f t="shared" si="25"/>
        <v/>
      </c>
      <c r="R24" s="18" t="str">
        <f t="shared" si="25"/>
        <v/>
      </c>
      <c r="S24" s="18" t="str">
        <f t="shared" si="25"/>
        <v/>
      </c>
      <c r="T24" s="18" t="str">
        <f t="shared" si="25"/>
        <v/>
      </c>
      <c r="U24" s="18" t="str">
        <f t="shared" si="25"/>
        <v/>
      </c>
      <c r="V24" s="18" t="str">
        <f t="shared" si="25"/>
        <v/>
      </c>
      <c r="W24" s="1"/>
      <c r="X24" s="13"/>
      <c r="Y24" s="13"/>
    </row>
    <row r="25" ht="24.75" customHeight="1">
      <c r="A25" s="12" t="s">
        <v>62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1"/>
      <c r="X25" s="1"/>
      <c r="Y25" s="1"/>
    </row>
    <row r="26" ht="42.0" customHeight="1">
      <c r="A26" s="1" t="s">
        <v>63</v>
      </c>
      <c r="B26" s="13" t="s">
        <v>64</v>
      </c>
      <c r="C26" s="14">
        <v>46294.0</v>
      </c>
      <c r="D26" s="13" t="s">
        <v>65</v>
      </c>
      <c r="E26" s="14">
        <v>46297.0</v>
      </c>
      <c r="F26" s="15">
        <f t="shared" ref="F26:F29" si="27">IF(OR(C26="",E26=""),"",E26-C26+1)</f>
        <v>4</v>
      </c>
      <c r="G26" s="9" t="s">
        <v>29</v>
      </c>
      <c r="H26" s="13" t="s">
        <v>66</v>
      </c>
      <c r="I26" s="16" t="s">
        <v>67</v>
      </c>
      <c r="J26" s="19"/>
      <c r="K26" s="1"/>
      <c r="L26" s="18">
        <f t="shared" ref="L26:V26" si="26">IF(OR($C26="",$E26=""),"",IF(AND($C26&lt;=MIN(L$8+6,$Y$4),$E26&gt;=L$8),IF(OR($D26="Team milestone",$D26="Course milestone"),"M",1),""))</f>
        <v>1</v>
      </c>
      <c r="M26" s="18" t="str">
        <f t="shared" si="26"/>
        <v/>
      </c>
      <c r="N26" s="18" t="str">
        <f t="shared" si="26"/>
        <v/>
      </c>
      <c r="O26" s="18" t="str">
        <f t="shared" si="26"/>
        <v/>
      </c>
      <c r="P26" s="18" t="str">
        <f t="shared" si="26"/>
        <v/>
      </c>
      <c r="Q26" s="18" t="str">
        <f t="shared" si="26"/>
        <v/>
      </c>
      <c r="R26" s="18" t="str">
        <f t="shared" si="26"/>
        <v/>
      </c>
      <c r="S26" s="18" t="str">
        <f t="shared" si="26"/>
        <v/>
      </c>
      <c r="T26" s="18" t="str">
        <f t="shared" si="26"/>
        <v/>
      </c>
      <c r="U26" s="18" t="str">
        <f t="shared" si="26"/>
        <v/>
      </c>
      <c r="V26" s="18" t="str">
        <f t="shared" si="26"/>
        <v/>
      </c>
      <c r="W26" s="1"/>
      <c r="X26" s="13"/>
      <c r="Y26" s="13"/>
    </row>
    <row r="27" ht="42.0" customHeight="1">
      <c r="A27" s="1" t="s">
        <v>68</v>
      </c>
      <c r="B27" s="13" t="s">
        <v>69</v>
      </c>
      <c r="C27" s="14">
        <v>46300.0</v>
      </c>
      <c r="D27" s="13">
        <f t="shared" ref="D27:D29" si="29">DAY(C27)</f>
        <v>5</v>
      </c>
      <c r="E27" s="14">
        <v>46304.0</v>
      </c>
      <c r="F27" s="15">
        <f t="shared" si="27"/>
        <v>5</v>
      </c>
      <c r="G27" s="9">
        <f t="shared" ref="G27:G29" si="30">IF(((E27)=""),"",(J27)*(E27-C27))</f>
        <v>0</v>
      </c>
      <c r="H27" s="13">
        <f t="shared" ref="H27:H29" si="31">IF(G27="","",(E27-C27)-G27)</f>
        <v>4</v>
      </c>
      <c r="I27" s="16" t="s">
        <v>47</v>
      </c>
      <c r="J27" s="19"/>
      <c r="K27" s="1"/>
      <c r="L27" s="18" t="str">
        <f t="shared" ref="L27:V27" si="28">IF(OR($C27="",$E27=""),"",IF(AND($C27&lt;=MIN(L$8+6,$Y$4),$E27&gt;=L$8),IF(OR($D27="Team milestone",$D27="Course milestone"),"M",1),""))</f>
        <v/>
      </c>
      <c r="M27" s="18">
        <f t="shared" si="28"/>
        <v>1</v>
      </c>
      <c r="N27" s="18" t="str">
        <f t="shared" si="28"/>
        <v/>
      </c>
      <c r="O27" s="18" t="str">
        <f t="shared" si="28"/>
        <v/>
      </c>
      <c r="P27" s="18" t="str">
        <f t="shared" si="28"/>
        <v/>
      </c>
      <c r="Q27" s="18" t="str">
        <f t="shared" si="28"/>
        <v/>
      </c>
      <c r="R27" s="18" t="str">
        <f t="shared" si="28"/>
        <v/>
      </c>
      <c r="S27" s="18" t="str">
        <f t="shared" si="28"/>
        <v/>
      </c>
      <c r="T27" s="18" t="str">
        <f t="shared" si="28"/>
        <v/>
      </c>
      <c r="U27" s="18" t="str">
        <f t="shared" si="28"/>
        <v/>
      </c>
      <c r="V27" s="18" t="str">
        <f t="shared" si="28"/>
        <v/>
      </c>
      <c r="W27" s="1"/>
      <c r="X27" s="13"/>
      <c r="Y27" s="13"/>
    </row>
    <row r="28" ht="42.0" customHeight="1">
      <c r="A28" s="1" t="s">
        <v>70</v>
      </c>
      <c r="B28" s="13" t="s">
        <v>71</v>
      </c>
      <c r="C28" s="14">
        <v>46307.0</v>
      </c>
      <c r="D28" s="13">
        <f t="shared" si="29"/>
        <v>12</v>
      </c>
      <c r="E28" s="14">
        <v>46309.0</v>
      </c>
      <c r="F28" s="15">
        <f t="shared" si="27"/>
        <v>3</v>
      </c>
      <c r="G28" s="9">
        <f t="shared" si="30"/>
        <v>0</v>
      </c>
      <c r="H28" s="13">
        <f t="shared" si="31"/>
        <v>2</v>
      </c>
      <c r="I28" s="16" t="s">
        <v>72</v>
      </c>
      <c r="J28" s="19"/>
      <c r="K28" s="1"/>
      <c r="L28" s="18" t="str">
        <f t="shared" ref="L28:V28" si="32">IF(OR($C28="",$E28=""),"",IF(AND($C28&lt;=MIN(L$8+6,$Y$4),$E28&gt;=L$8),IF(OR($D28="Team milestone",$D28="Course milestone"),"M",1),""))</f>
        <v/>
      </c>
      <c r="M28" s="18" t="str">
        <f t="shared" si="32"/>
        <v/>
      </c>
      <c r="N28" s="18">
        <f t="shared" si="32"/>
        <v>1</v>
      </c>
      <c r="O28" s="18" t="str">
        <f t="shared" si="32"/>
        <v/>
      </c>
      <c r="P28" s="18" t="str">
        <f t="shared" si="32"/>
        <v/>
      </c>
      <c r="Q28" s="18" t="str">
        <f t="shared" si="32"/>
        <v/>
      </c>
      <c r="R28" s="18" t="str">
        <f t="shared" si="32"/>
        <v/>
      </c>
      <c r="S28" s="18" t="str">
        <f t="shared" si="32"/>
        <v/>
      </c>
      <c r="T28" s="18" t="str">
        <f t="shared" si="32"/>
        <v/>
      </c>
      <c r="U28" s="18" t="str">
        <f t="shared" si="32"/>
        <v/>
      </c>
      <c r="V28" s="18" t="str">
        <f t="shared" si="32"/>
        <v/>
      </c>
      <c r="W28" s="1"/>
      <c r="X28" s="13"/>
      <c r="Y28" s="13"/>
    </row>
    <row r="29" ht="42.0" customHeight="1">
      <c r="A29" s="1" t="s">
        <v>73</v>
      </c>
      <c r="B29" s="13" t="s">
        <v>74</v>
      </c>
      <c r="C29" s="14">
        <v>46310.0</v>
      </c>
      <c r="D29" s="13">
        <f t="shared" si="29"/>
        <v>15</v>
      </c>
      <c r="E29" s="14">
        <v>46310.0</v>
      </c>
      <c r="F29" s="15">
        <f t="shared" si="27"/>
        <v>1</v>
      </c>
      <c r="G29" s="9">
        <f t="shared" si="30"/>
        <v>0</v>
      </c>
      <c r="H29" s="13">
        <f t="shared" si="31"/>
        <v>0</v>
      </c>
      <c r="I29" s="16" t="s">
        <v>75</v>
      </c>
      <c r="J29" s="19"/>
      <c r="K29" s="1"/>
      <c r="L29" s="18" t="str">
        <f t="shared" ref="L29:V29" si="33">IF(OR($C29="",$E29=""),"",IF(AND($C29&lt;=MIN(L$8+6,$Y$4),$E29&gt;=L$8),IF(OR($D29="Team milestone",$D29="Course milestone"),"M",1),""))</f>
        <v/>
      </c>
      <c r="M29" s="18" t="str">
        <f t="shared" si="33"/>
        <v/>
      </c>
      <c r="N29" s="18">
        <f t="shared" si="33"/>
        <v>1</v>
      </c>
      <c r="O29" s="18" t="str">
        <f t="shared" si="33"/>
        <v/>
      </c>
      <c r="P29" s="18" t="str">
        <f t="shared" si="33"/>
        <v/>
      </c>
      <c r="Q29" s="18" t="str">
        <f t="shared" si="33"/>
        <v/>
      </c>
      <c r="R29" s="18" t="str">
        <f t="shared" si="33"/>
        <v/>
      </c>
      <c r="S29" s="18" t="str">
        <f t="shared" si="33"/>
        <v/>
      </c>
      <c r="T29" s="18" t="str">
        <f t="shared" si="33"/>
        <v/>
      </c>
      <c r="U29" s="18" t="str">
        <f t="shared" si="33"/>
        <v/>
      </c>
      <c r="V29" s="18" t="str">
        <f t="shared" si="33"/>
        <v/>
      </c>
      <c r="W29" s="1"/>
      <c r="X29" s="13" t="s">
        <v>76</v>
      </c>
      <c r="Y29" s="13"/>
    </row>
    <row r="30" ht="24.75" customHeight="1">
      <c r="A30" s="12" t="s">
        <v>77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1"/>
      <c r="X30" s="1"/>
      <c r="Y30" s="1"/>
    </row>
    <row r="31" ht="42.0" customHeight="1">
      <c r="A31" s="1" t="s">
        <v>78</v>
      </c>
      <c r="B31" s="13" t="s">
        <v>79</v>
      </c>
      <c r="C31" s="14">
        <v>46294.0</v>
      </c>
      <c r="D31" s="13" t="s">
        <v>80</v>
      </c>
      <c r="E31" s="14">
        <v>46297.0</v>
      </c>
      <c r="F31" s="15">
        <f t="shared" ref="F31:F34" si="35">IF(OR(C31="",E31=""),"",E31-C31+1)</f>
        <v>4</v>
      </c>
      <c r="G31" s="9" t="s">
        <v>29</v>
      </c>
      <c r="H31" s="13" t="s">
        <v>81</v>
      </c>
      <c r="I31" s="16" t="s">
        <v>31</v>
      </c>
      <c r="J31" s="19"/>
      <c r="K31" s="1"/>
      <c r="L31" s="18">
        <f t="shared" ref="L31:V31" si="34">IF(OR($C31="",$E31=""),"",IF(AND($C31&lt;=MIN(L$8+6,$Y$4),$E31&gt;=L$8),IF(OR($D31="Team milestone",$D31="Course milestone"),"M",1),""))</f>
        <v>1</v>
      </c>
      <c r="M31" s="18" t="str">
        <f t="shared" si="34"/>
        <v/>
      </c>
      <c r="N31" s="18" t="str">
        <f t="shared" si="34"/>
        <v/>
      </c>
      <c r="O31" s="18" t="str">
        <f t="shared" si="34"/>
        <v/>
      </c>
      <c r="P31" s="18" t="str">
        <f t="shared" si="34"/>
        <v/>
      </c>
      <c r="Q31" s="18" t="str">
        <f t="shared" si="34"/>
        <v/>
      </c>
      <c r="R31" s="18" t="str">
        <f t="shared" si="34"/>
        <v/>
      </c>
      <c r="S31" s="18" t="str">
        <f t="shared" si="34"/>
        <v/>
      </c>
      <c r="T31" s="18" t="str">
        <f t="shared" si="34"/>
        <v/>
      </c>
      <c r="U31" s="18" t="str">
        <f t="shared" si="34"/>
        <v/>
      </c>
      <c r="V31" s="18" t="str">
        <f t="shared" si="34"/>
        <v/>
      </c>
      <c r="W31" s="1"/>
      <c r="X31" s="13" t="s">
        <v>82</v>
      </c>
      <c r="Y31" s="13"/>
    </row>
    <row r="32" ht="42.0" customHeight="1">
      <c r="A32" s="1" t="s">
        <v>83</v>
      </c>
      <c r="B32" s="13" t="s">
        <v>84</v>
      </c>
      <c r="C32" s="14">
        <v>46300.0</v>
      </c>
      <c r="D32" s="13" t="s">
        <v>80</v>
      </c>
      <c r="E32" s="14">
        <v>46304.0</v>
      </c>
      <c r="F32" s="15">
        <f t="shared" si="35"/>
        <v>5</v>
      </c>
      <c r="G32" s="9" t="s">
        <v>78</v>
      </c>
      <c r="H32" s="13" t="s">
        <v>81</v>
      </c>
      <c r="I32" s="16" t="s">
        <v>47</v>
      </c>
      <c r="J32" s="19"/>
      <c r="K32" s="1"/>
      <c r="L32" s="18" t="str">
        <f t="shared" ref="L32:V32" si="36">IF(OR($C32="",$E32=""),"",IF(AND($C32&lt;=MIN(L$8+6,$Y$4),$E32&gt;=L$8),IF(OR($D32="Team milestone",$D32="Course milestone"),"M",1),""))</f>
        <v/>
      </c>
      <c r="M32" s="18">
        <f t="shared" si="36"/>
        <v>1</v>
      </c>
      <c r="N32" s="18" t="str">
        <f t="shared" si="36"/>
        <v/>
      </c>
      <c r="O32" s="18" t="str">
        <f t="shared" si="36"/>
        <v/>
      </c>
      <c r="P32" s="18" t="str">
        <f t="shared" si="36"/>
        <v/>
      </c>
      <c r="Q32" s="18" t="str">
        <f t="shared" si="36"/>
        <v/>
      </c>
      <c r="R32" s="18" t="str">
        <f t="shared" si="36"/>
        <v/>
      </c>
      <c r="S32" s="18" t="str">
        <f t="shared" si="36"/>
        <v/>
      </c>
      <c r="T32" s="18" t="str">
        <f t="shared" si="36"/>
        <v/>
      </c>
      <c r="U32" s="18" t="str">
        <f t="shared" si="36"/>
        <v/>
      </c>
      <c r="V32" s="18" t="str">
        <f t="shared" si="36"/>
        <v/>
      </c>
      <c r="W32" s="1"/>
      <c r="X32" s="13"/>
      <c r="Y32" s="13"/>
    </row>
    <row r="33" ht="42.0" customHeight="1">
      <c r="A33" s="1" t="s">
        <v>85</v>
      </c>
      <c r="B33" s="13" t="s">
        <v>86</v>
      </c>
      <c r="C33" s="14">
        <v>46307.0</v>
      </c>
      <c r="D33" s="13" t="s">
        <v>80</v>
      </c>
      <c r="E33" s="14">
        <v>46311.0</v>
      </c>
      <c r="F33" s="15">
        <f t="shared" si="35"/>
        <v>5</v>
      </c>
      <c r="G33" s="9" t="s">
        <v>83</v>
      </c>
      <c r="H33" s="13" t="s">
        <v>81</v>
      </c>
      <c r="I33" s="16" t="s">
        <v>31</v>
      </c>
      <c r="J33" s="19"/>
      <c r="K33" s="1"/>
      <c r="L33" s="18" t="str">
        <f t="shared" ref="L33:V33" si="37">IF(OR($C33="",$E33=""),"",IF(AND($C33&lt;=MIN(L$8+6,$Y$4),$E33&gt;=L$8),IF(OR($D33="Team milestone",$D33="Course milestone"),"M",1),""))</f>
        <v/>
      </c>
      <c r="M33" s="18" t="str">
        <f t="shared" si="37"/>
        <v/>
      </c>
      <c r="N33" s="18">
        <f t="shared" si="37"/>
        <v>1</v>
      </c>
      <c r="O33" s="18" t="str">
        <f t="shared" si="37"/>
        <v/>
      </c>
      <c r="P33" s="18" t="str">
        <f t="shared" si="37"/>
        <v/>
      </c>
      <c r="Q33" s="18" t="str">
        <f t="shared" si="37"/>
        <v/>
      </c>
      <c r="R33" s="18" t="str">
        <f t="shared" si="37"/>
        <v/>
      </c>
      <c r="S33" s="18" t="str">
        <f t="shared" si="37"/>
        <v/>
      </c>
      <c r="T33" s="18" t="str">
        <f t="shared" si="37"/>
        <v/>
      </c>
      <c r="U33" s="18" t="str">
        <f t="shared" si="37"/>
        <v/>
      </c>
      <c r="V33" s="18" t="str">
        <f t="shared" si="37"/>
        <v/>
      </c>
      <c r="W33" s="1"/>
      <c r="X33" s="13"/>
      <c r="Y33" s="13"/>
    </row>
    <row r="34" ht="42.0" customHeight="1">
      <c r="A34" s="1" t="s">
        <v>87</v>
      </c>
      <c r="B34" s="13" t="s">
        <v>88</v>
      </c>
      <c r="C34" s="14">
        <v>46314.0</v>
      </c>
      <c r="D34" s="13" t="s">
        <v>80</v>
      </c>
      <c r="E34" s="14">
        <v>46318.0</v>
      </c>
      <c r="F34" s="15">
        <f t="shared" si="35"/>
        <v>5</v>
      </c>
      <c r="G34" s="9" t="s">
        <v>85</v>
      </c>
      <c r="H34" s="13" t="s">
        <v>81</v>
      </c>
      <c r="I34" s="16" t="s">
        <v>31</v>
      </c>
      <c r="J34" s="19"/>
      <c r="K34" s="1"/>
      <c r="L34" s="18" t="str">
        <f t="shared" ref="L34:V34" si="38">IF(OR($C34="",$E34=""),"",IF(AND($C34&lt;=MIN(L$8+6,$Y$4),$E34&gt;=L$8),IF(OR($D34="Team milestone",$D34="Course milestone"),"M",1),""))</f>
        <v/>
      </c>
      <c r="M34" s="18" t="str">
        <f t="shared" si="38"/>
        <v/>
      </c>
      <c r="N34" s="18" t="str">
        <f t="shared" si="38"/>
        <v/>
      </c>
      <c r="O34" s="18">
        <f t="shared" si="38"/>
        <v>1</v>
      </c>
      <c r="P34" s="18" t="str">
        <f t="shared" si="38"/>
        <v/>
      </c>
      <c r="Q34" s="18" t="str">
        <f t="shared" si="38"/>
        <v/>
      </c>
      <c r="R34" s="18" t="str">
        <f t="shared" si="38"/>
        <v/>
      </c>
      <c r="S34" s="18" t="str">
        <f t="shared" si="38"/>
        <v/>
      </c>
      <c r="T34" s="18" t="str">
        <f t="shared" si="38"/>
        <v/>
      </c>
      <c r="U34" s="18" t="str">
        <f t="shared" si="38"/>
        <v/>
      </c>
      <c r="V34" s="18" t="str">
        <f t="shared" si="38"/>
        <v/>
      </c>
      <c r="W34" s="1"/>
      <c r="X34" s="13"/>
      <c r="Y34" s="13"/>
    </row>
    <row r="35" ht="24.75" customHeight="1">
      <c r="A35" s="12" t="s">
        <v>89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1"/>
      <c r="X35" s="1"/>
      <c r="Y35" s="1"/>
    </row>
    <row r="36" ht="42.0" customHeight="1">
      <c r="A36" s="1" t="s">
        <v>90</v>
      </c>
      <c r="B36" s="13" t="s">
        <v>91</v>
      </c>
      <c r="C36" s="14">
        <v>46294.0</v>
      </c>
      <c r="D36" s="13" t="s">
        <v>65</v>
      </c>
      <c r="E36" s="14">
        <v>46311.0</v>
      </c>
      <c r="F36" s="15">
        <f t="shared" ref="F36:F45" si="40">IF(OR(C36="",E36=""),"",E36-C36+1)</f>
        <v>18</v>
      </c>
      <c r="G36" s="9" t="s">
        <v>29</v>
      </c>
      <c r="H36" s="13" t="s">
        <v>92</v>
      </c>
      <c r="I36" s="16" t="s">
        <v>47</v>
      </c>
      <c r="J36" s="19"/>
      <c r="K36" s="1"/>
      <c r="L36" s="18">
        <f t="shared" ref="L36:V36" si="39">IF(OR($C36="",$E36=""),"",IF(AND($C36&lt;=MIN(L$8+6,$Y$4),$E36&gt;=L$8),IF(OR($D36="Team milestone",$D36="Course milestone"),"M",1),""))</f>
        <v>1</v>
      </c>
      <c r="M36" s="18">
        <f t="shared" si="39"/>
        <v>1</v>
      </c>
      <c r="N36" s="18">
        <f t="shared" si="39"/>
        <v>1</v>
      </c>
      <c r="O36" s="18" t="str">
        <f t="shared" si="39"/>
        <v/>
      </c>
      <c r="P36" s="18" t="str">
        <f t="shared" si="39"/>
        <v/>
      </c>
      <c r="Q36" s="18" t="str">
        <f t="shared" si="39"/>
        <v/>
      </c>
      <c r="R36" s="18" t="str">
        <f t="shared" si="39"/>
        <v/>
      </c>
      <c r="S36" s="18" t="str">
        <f t="shared" si="39"/>
        <v/>
      </c>
      <c r="T36" s="18" t="str">
        <f t="shared" si="39"/>
        <v/>
      </c>
      <c r="U36" s="18" t="str">
        <f t="shared" si="39"/>
        <v/>
      </c>
      <c r="V36" s="18" t="str">
        <f t="shared" si="39"/>
        <v/>
      </c>
      <c r="W36" s="1"/>
      <c r="X36" s="13" t="s">
        <v>93</v>
      </c>
      <c r="Y36" s="13"/>
    </row>
    <row r="37" ht="42.0" customHeight="1">
      <c r="A37" s="1" t="s">
        <v>94</v>
      </c>
      <c r="B37" s="13" t="s">
        <v>95</v>
      </c>
      <c r="C37" s="14">
        <v>46303.0</v>
      </c>
      <c r="D37" s="13" t="s">
        <v>96</v>
      </c>
      <c r="E37" s="14">
        <v>46303.0</v>
      </c>
      <c r="F37" s="15">
        <f t="shared" si="40"/>
        <v>1</v>
      </c>
      <c r="G37" s="9" t="s">
        <v>97</v>
      </c>
      <c r="H37" s="13" t="s">
        <v>98</v>
      </c>
      <c r="I37" s="16" t="s">
        <v>31</v>
      </c>
      <c r="J37" s="17"/>
      <c r="K37" s="1"/>
      <c r="L37" s="18" t="str">
        <f t="shared" ref="L37:V37" si="41">IF(OR($C37="",$E37=""),"",IF(AND($C37&lt;=MIN(L$8+6,$Y$4),$E37&gt;=L$8),IF(OR($D37="Team milestone",$D37="Course milestone"),"M",1),""))</f>
        <v/>
      </c>
      <c r="M37" s="18" t="str">
        <f t="shared" si="41"/>
        <v>M</v>
      </c>
      <c r="N37" s="18" t="str">
        <f t="shared" si="41"/>
        <v/>
      </c>
      <c r="O37" s="18" t="str">
        <f t="shared" si="41"/>
        <v/>
      </c>
      <c r="P37" s="18" t="str">
        <f t="shared" si="41"/>
        <v/>
      </c>
      <c r="Q37" s="18" t="str">
        <f t="shared" si="41"/>
        <v/>
      </c>
      <c r="R37" s="18" t="str">
        <f t="shared" si="41"/>
        <v/>
      </c>
      <c r="S37" s="18" t="str">
        <f t="shared" si="41"/>
        <v/>
      </c>
      <c r="T37" s="18" t="str">
        <f t="shared" si="41"/>
        <v/>
      </c>
      <c r="U37" s="18" t="str">
        <f t="shared" si="41"/>
        <v/>
      </c>
      <c r="V37" s="18" t="str">
        <f t="shared" si="41"/>
        <v/>
      </c>
      <c r="W37" s="1"/>
      <c r="X37" s="13"/>
      <c r="Y37" s="13"/>
    </row>
    <row r="38" ht="42.0" customHeight="1">
      <c r="A38" s="1" t="s">
        <v>99</v>
      </c>
      <c r="B38" s="13" t="s">
        <v>100</v>
      </c>
      <c r="C38" s="14">
        <v>46310.0</v>
      </c>
      <c r="D38" s="13" t="s">
        <v>96</v>
      </c>
      <c r="E38" s="14">
        <v>46310.0</v>
      </c>
      <c r="F38" s="15">
        <f t="shared" si="40"/>
        <v>1</v>
      </c>
      <c r="G38" s="9" t="s">
        <v>73</v>
      </c>
      <c r="H38" s="13" t="s">
        <v>98</v>
      </c>
      <c r="I38" s="16" t="s">
        <v>31</v>
      </c>
      <c r="J38" s="19"/>
      <c r="K38" s="1"/>
      <c r="L38" s="18" t="str">
        <f t="shared" ref="L38:V38" si="42">IF(OR($C38="",$E38=""),"",IF(AND($C38&lt;=MIN(L$8+6,$Y$4),$E38&gt;=L$8),IF(OR($D38="Team milestone",$D38="Course milestone"),"M",1),""))</f>
        <v/>
      </c>
      <c r="M38" s="18" t="str">
        <f t="shared" si="42"/>
        <v/>
      </c>
      <c r="N38" s="18" t="str">
        <f t="shared" si="42"/>
        <v>M</v>
      </c>
      <c r="O38" s="18" t="str">
        <f t="shared" si="42"/>
        <v/>
      </c>
      <c r="P38" s="18" t="str">
        <f t="shared" si="42"/>
        <v/>
      </c>
      <c r="Q38" s="18" t="str">
        <f t="shared" si="42"/>
        <v/>
      </c>
      <c r="R38" s="18" t="str">
        <f t="shared" si="42"/>
        <v/>
      </c>
      <c r="S38" s="18" t="str">
        <f t="shared" si="42"/>
        <v/>
      </c>
      <c r="T38" s="18" t="str">
        <f t="shared" si="42"/>
        <v/>
      </c>
      <c r="U38" s="18" t="str">
        <f t="shared" si="42"/>
        <v/>
      </c>
      <c r="V38" s="18" t="str">
        <f t="shared" si="42"/>
        <v/>
      </c>
      <c r="W38" s="1"/>
      <c r="X38" s="13"/>
      <c r="Y38" s="13"/>
    </row>
    <row r="39" ht="42.0" customHeight="1">
      <c r="A39" s="1" t="s">
        <v>101</v>
      </c>
      <c r="B39" s="13" t="s">
        <v>102</v>
      </c>
      <c r="C39" s="14">
        <v>46311.0</v>
      </c>
      <c r="D39" s="13" t="s">
        <v>65</v>
      </c>
      <c r="E39" s="14">
        <v>46315.0</v>
      </c>
      <c r="F39" s="15">
        <f t="shared" si="40"/>
        <v>5</v>
      </c>
      <c r="G39" s="9" t="s">
        <v>99</v>
      </c>
      <c r="H39" s="13" t="s">
        <v>98</v>
      </c>
      <c r="I39" s="16" t="s">
        <v>103</v>
      </c>
      <c r="J39" s="19"/>
      <c r="K39" s="1"/>
      <c r="L39" s="18" t="str">
        <f t="shared" ref="L39:V39" si="43">IF(OR($C39="",$E39=""),"",IF(AND($C39&lt;=MIN(L$8+6,$Y$4),$E39&gt;=L$8),IF(OR($D39="Team milestone",$D39="Course milestone"),"M",1),""))</f>
        <v/>
      </c>
      <c r="M39" s="18" t="str">
        <f t="shared" si="43"/>
        <v/>
      </c>
      <c r="N39" s="18">
        <f t="shared" si="43"/>
        <v>1</v>
      </c>
      <c r="O39" s="18">
        <f t="shared" si="43"/>
        <v>1</v>
      </c>
      <c r="P39" s="18" t="str">
        <f t="shared" si="43"/>
        <v/>
      </c>
      <c r="Q39" s="18" t="str">
        <f t="shared" si="43"/>
        <v/>
      </c>
      <c r="R39" s="18" t="str">
        <f t="shared" si="43"/>
        <v/>
      </c>
      <c r="S39" s="18" t="str">
        <f t="shared" si="43"/>
        <v/>
      </c>
      <c r="T39" s="18" t="str">
        <f t="shared" si="43"/>
        <v/>
      </c>
      <c r="U39" s="18" t="str">
        <f t="shared" si="43"/>
        <v/>
      </c>
      <c r="V39" s="18" t="str">
        <f t="shared" si="43"/>
        <v/>
      </c>
      <c r="W39" s="1"/>
      <c r="X39" s="13" t="s">
        <v>104</v>
      </c>
      <c r="Y39" s="13"/>
    </row>
    <row r="40" ht="42.0" customHeight="1">
      <c r="A40" s="1" t="s">
        <v>105</v>
      </c>
      <c r="B40" s="13" t="s">
        <v>106</v>
      </c>
      <c r="C40" s="14">
        <v>46314.0</v>
      </c>
      <c r="D40" s="13" t="s">
        <v>65</v>
      </c>
      <c r="E40" s="14">
        <v>46315.0</v>
      </c>
      <c r="F40" s="15">
        <f t="shared" si="40"/>
        <v>2</v>
      </c>
      <c r="G40" s="9" t="s">
        <v>107</v>
      </c>
      <c r="H40" s="13" t="s">
        <v>98</v>
      </c>
      <c r="I40" s="16" t="s">
        <v>31</v>
      </c>
      <c r="J40" s="19"/>
      <c r="K40" s="1"/>
      <c r="L40" s="18" t="str">
        <f t="shared" ref="L40:V40" si="44">IF(OR($C40="",$E40=""),"",IF(AND($C40&lt;=MIN(L$8+6,$Y$4),$E40&gt;=L$8),IF(OR($D40="Team milestone",$D40="Course milestone"),"M",1),""))</f>
        <v/>
      </c>
      <c r="M40" s="18" t="str">
        <f t="shared" si="44"/>
        <v/>
      </c>
      <c r="N40" s="18" t="str">
        <f t="shared" si="44"/>
        <v/>
      </c>
      <c r="O40" s="18">
        <f t="shared" si="44"/>
        <v>1</v>
      </c>
      <c r="P40" s="18" t="str">
        <f t="shared" si="44"/>
        <v/>
      </c>
      <c r="Q40" s="18" t="str">
        <f t="shared" si="44"/>
        <v/>
      </c>
      <c r="R40" s="18" t="str">
        <f t="shared" si="44"/>
        <v/>
      </c>
      <c r="S40" s="18" t="str">
        <f t="shared" si="44"/>
        <v/>
      </c>
      <c r="T40" s="18" t="str">
        <f t="shared" si="44"/>
        <v/>
      </c>
      <c r="U40" s="18" t="str">
        <f t="shared" si="44"/>
        <v/>
      </c>
      <c r="V40" s="18" t="str">
        <f t="shared" si="44"/>
        <v/>
      </c>
      <c r="W40" s="1"/>
      <c r="X40" s="13"/>
      <c r="Y40" s="13"/>
    </row>
    <row r="41" ht="42.0" customHeight="1">
      <c r="A41" s="1" t="s">
        <v>108</v>
      </c>
      <c r="B41" s="13" t="s">
        <v>109</v>
      </c>
      <c r="C41" s="14">
        <v>46315.0</v>
      </c>
      <c r="D41" s="13" t="s">
        <v>96</v>
      </c>
      <c r="E41" s="14">
        <v>46315.0</v>
      </c>
      <c r="F41" s="15">
        <f t="shared" si="40"/>
        <v>1</v>
      </c>
      <c r="G41" s="9" t="s">
        <v>110</v>
      </c>
      <c r="H41" s="13" t="s">
        <v>98</v>
      </c>
      <c r="I41" s="16" t="s">
        <v>31</v>
      </c>
      <c r="J41" s="19"/>
      <c r="K41" s="1"/>
      <c r="L41" s="18" t="str">
        <f t="shared" ref="L41:V41" si="45">IF(OR($C41="",$E41=""),"",IF(AND($C41&lt;=MIN(L$8+6,$Y$4),$E41&gt;=L$8),IF(OR($D41="Team milestone",$D41="Course milestone"),"M",1),""))</f>
        <v/>
      </c>
      <c r="M41" s="18" t="str">
        <f t="shared" si="45"/>
        <v/>
      </c>
      <c r="N41" s="18" t="str">
        <f t="shared" si="45"/>
        <v/>
      </c>
      <c r="O41" s="18" t="str">
        <f t="shared" si="45"/>
        <v>M</v>
      </c>
      <c r="P41" s="18" t="str">
        <f t="shared" si="45"/>
        <v/>
      </c>
      <c r="Q41" s="18" t="str">
        <f t="shared" si="45"/>
        <v/>
      </c>
      <c r="R41" s="18" t="str">
        <f t="shared" si="45"/>
        <v/>
      </c>
      <c r="S41" s="18" t="str">
        <f t="shared" si="45"/>
        <v/>
      </c>
      <c r="T41" s="18" t="str">
        <f t="shared" si="45"/>
        <v/>
      </c>
      <c r="U41" s="18" t="str">
        <f t="shared" si="45"/>
        <v/>
      </c>
      <c r="V41" s="18" t="str">
        <f t="shared" si="45"/>
        <v/>
      </c>
      <c r="W41" s="1"/>
      <c r="X41" s="13"/>
      <c r="Y41" s="13"/>
    </row>
    <row r="42" ht="42.0" customHeight="1">
      <c r="A42" s="1" t="s">
        <v>111</v>
      </c>
      <c r="B42" s="13" t="s">
        <v>112</v>
      </c>
      <c r="C42" s="14">
        <v>46314.0</v>
      </c>
      <c r="D42" s="13" t="s">
        <v>65</v>
      </c>
      <c r="E42" s="14">
        <v>46318.0</v>
      </c>
      <c r="F42" s="15">
        <f t="shared" si="40"/>
        <v>5</v>
      </c>
      <c r="G42" s="9" t="s">
        <v>113</v>
      </c>
      <c r="H42" s="13" t="s">
        <v>98</v>
      </c>
      <c r="I42" s="16" t="s">
        <v>31</v>
      </c>
      <c r="J42" s="19"/>
      <c r="K42" s="1"/>
      <c r="L42" s="18" t="str">
        <f t="shared" ref="L42:V42" si="46">IF(OR($C42="",$E42=""),"",IF(AND($C42&lt;=MIN(L$8+6,$Y$4),$E42&gt;=L$8),IF(OR($D42="Team milestone",$D42="Course milestone"),"M",1),""))</f>
        <v/>
      </c>
      <c r="M42" s="18" t="str">
        <f t="shared" si="46"/>
        <v/>
      </c>
      <c r="N42" s="18" t="str">
        <f t="shared" si="46"/>
        <v/>
      </c>
      <c r="O42" s="18">
        <f t="shared" si="46"/>
        <v>1</v>
      </c>
      <c r="P42" s="18" t="str">
        <f t="shared" si="46"/>
        <v/>
      </c>
      <c r="Q42" s="18" t="str">
        <f t="shared" si="46"/>
        <v/>
      </c>
      <c r="R42" s="18" t="str">
        <f t="shared" si="46"/>
        <v/>
      </c>
      <c r="S42" s="18" t="str">
        <f t="shared" si="46"/>
        <v/>
      </c>
      <c r="T42" s="18" t="str">
        <f t="shared" si="46"/>
        <v/>
      </c>
      <c r="U42" s="18" t="str">
        <f t="shared" si="46"/>
        <v/>
      </c>
      <c r="V42" s="18" t="str">
        <f t="shared" si="46"/>
        <v/>
      </c>
      <c r="W42" s="1"/>
      <c r="X42" s="13"/>
      <c r="Y42" s="13"/>
    </row>
    <row r="43" ht="42.0" customHeight="1">
      <c r="A43" s="1" t="s">
        <v>114</v>
      </c>
      <c r="B43" s="13" t="s">
        <v>115</v>
      </c>
      <c r="C43" s="14">
        <v>46321.0</v>
      </c>
      <c r="D43" s="13" t="s">
        <v>65</v>
      </c>
      <c r="E43" s="14">
        <v>46322.0</v>
      </c>
      <c r="F43" s="15">
        <f t="shared" si="40"/>
        <v>2</v>
      </c>
      <c r="G43" s="9" t="s">
        <v>116</v>
      </c>
      <c r="H43" s="13" t="s">
        <v>98</v>
      </c>
      <c r="I43" s="16" t="s">
        <v>31</v>
      </c>
      <c r="J43" s="19"/>
      <c r="K43" s="1"/>
      <c r="L43" s="18" t="str">
        <f t="shared" ref="L43:V43" si="47">IF(OR($C43="",$E43=""),"",IF(AND($C43&lt;=MIN(L$8+6,$Y$4),$E43&gt;=L$8),IF(OR($D43="Team milestone",$D43="Course milestone"),"M",1),""))</f>
        <v/>
      </c>
      <c r="M43" s="18" t="str">
        <f t="shared" si="47"/>
        <v/>
      </c>
      <c r="N43" s="18" t="str">
        <f t="shared" si="47"/>
        <v/>
      </c>
      <c r="O43" s="18" t="str">
        <f t="shared" si="47"/>
        <v/>
      </c>
      <c r="P43" s="18">
        <f t="shared" si="47"/>
        <v>1</v>
      </c>
      <c r="Q43" s="18" t="str">
        <f t="shared" si="47"/>
        <v/>
      </c>
      <c r="R43" s="18" t="str">
        <f t="shared" si="47"/>
        <v/>
      </c>
      <c r="S43" s="18" t="str">
        <f t="shared" si="47"/>
        <v/>
      </c>
      <c r="T43" s="18" t="str">
        <f t="shared" si="47"/>
        <v/>
      </c>
      <c r="U43" s="18" t="str">
        <f t="shared" si="47"/>
        <v/>
      </c>
      <c r="V43" s="18" t="str">
        <f t="shared" si="47"/>
        <v/>
      </c>
      <c r="W43" s="1"/>
      <c r="X43" s="13"/>
      <c r="Y43" s="13"/>
    </row>
    <row r="44" ht="42.0" customHeight="1">
      <c r="A44" s="1" t="s">
        <v>117</v>
      </c>
      <c r="B44" s="13" t="s">
        <v>118</v>
      </c>
      <c r="C44" s="14">
        <v>46322.0</v>
      </c>
      <c r="D44" s="13" t="s">
        <v>96</v>
      </c>
      <c r="E44" s="14">
        <v>46322.0</v>
      </c>
      <c r="F44" s="15">
        <f t="shared" si="40"/>
        <v>1</v>
      </c>
      <c r="G44" s="9" t="s">
        <v>114</v>
      </c>
      <c r="H44" s="13" t="s">
        <v>98</v>
      </c>
      <c r="I44" s="16" t="s">
        <v>31</v>
      </c>
      <c r="J44" s="19"/>
      <c r="K44" s="1"/>
      <c r="L44" s="18" t="str">
        <f t="shared" ref="L44:V44" si="48">IF(OR($C44="",$E44=""),"",IF(AND($C44&lt;=MIN(L$8+6,$Y$4),$E44&gt;=L$8),IF(OR($D44="Team milestone",$D44="Course milestone"),"M",1),""))</f>
        <v/>
      </c>
      <c r="M44" s="18" t="str">
        <f t="shared" si="48"/>
        <v/>
      </c>
      <c r="N44" s="18" t="str">
        <f t="shared" si="48"/>
        <v/>
      </c>
      <c r="O44" s="18" t="str">
        <f t="shared" si="48"/>
        <v/>
      </c>
      <c r="P44" s="18" t="str">
        <f t="shared" si="48"/>
        <v>M</v>
      </c>
      <c r="Q44" s="18" t="str">
        <f t="shared" si="48"/>
        <v/>
      </c>
      <c r="R44" s="18" t="str">
        <f t="shared" si="48"/>
        <v/>
      </c>
      <c r="S44" s="18" t="str">
        <f t="shared" si="48"/>
        <v/>
      </c>
      <c r="T44" s="18" t="str">
        <f t="shared" si="48"/>
        <v/>
      </c>
      <c r="U44" s="18" t="str">
        <f t="shared" si="48"/>
        <v/>
      </c>
      <c r="V44" s="18" t="str">
        <f t="shared" si="48"/>
        <v/>
      </c>
      <c r="W44" s="1"/>
      <c r="X44" s="13"/>
      <c r="Y44" s="13"/>
    </row>
    <row r="45" ht="42.0" customHeight="1">
      <c r="A45" s="1" t="s">
        <v>119</v>
      </c>
      <c r="B45" s="13" t="s">
        <v>120</v>
      </c>
      <c r="C45" s="14">
        <v>46323.0</v>
      </c>
      <c r="D45" s="13" t="s">
        <v>65</v>
      </c>
      <c r="E45" s="14">
        <v>46324.0</v>
      </c>
      <c r="F45" s="15">
        <f t="shared" si="40"/>
        <v>2</v>
      </c>
      <c r="G45" s="9" t="s">
        <v>117</v>
      </c>
      <c r="H45" s="13" t="s">
        <v>98</v>
      </c>
      <c r="I45" s="16" t="s">
        <v>31</v>
      </c>
      <c r="J45" s="19"/>
      <c r="K45" s="1"/>
      <c r="L45" s="18" t="str">
        <f t="shared" ref="L45:V45" si="49">IF(OR($C45="",$E45=""),"",IF(AND($C45&lt;=MIN(L$8+6,$Y$4),$E45&gt;=L$8),IF(OR($D45="Team milestone",$D45="Course milestone"),"M",1),""))</f>
        <v/>
      </c>
      <c r="M45" s="18" t="str">
        <f t="shared" si="49"/>
        <v/>
      </c>
      <c r="N45" s="18" t="str">
        <f t="shared" si="49"/>
        <v/>
      </c>
      <c r="O45" s="18" t="str">
        <f t="shared" si="49"/>
        <v/>
      </c>
      <c r="P45" s="18">
        <f t="shared" si="49"/>
        <v>1</v>
      </c>
      <c r="Q45" s="18" t="str">
        <f t="shared" si="49"/>
        <v/>
      </c>
      <c r="R45" s="18" t="str">
        <f t="shared" si="49"/>
        <v/>
      </c>
      <c r="S45" s="18" t="str">
        <f t="shared" si="49"/>
        <v/>
      </c>
      <c r="T45" s="18" t="str">
        <f t="shared" si="49"/>
        <v/>
      </c>
      <c r="U45" s="18" t="str">
        <f t="shared" si="49"/>
        <v/>
      </c>
      <c r="V45" s="18" t="str">
        <f t="shared" si="49"/>
        <v/>
      </c>
      <c r="W45" s="1"/>
      <c r="X45" s="13"/>
      <c r="Y45" s="13"/>
    </row>
    <row r="46" ht="24.75" customHeight="1">
      <c r="A46" s="12" t="s">
        <v>121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1"/>
      <c r="X46" s="1"/>
      <c r="Y46" s="1"/>
    </row>
    <row r="47" ht="42.0" customHeight="1">
      <c r="A47" s="1" t="s">
        <v>122</v>
      </c>
      <c r="B47" s="13" t="s">
        <v>123</v>
      </c>
      <c r="C47" s="14">
        <v>46324.0</v>
      </c>
      <c r="D47" s="13" t="s">
        <v>65</v>
      </c>
      <c r="E47" s="14">
        <v>46331.0</v>
      </c>
      <c r="F47" s="15">
        <f t="shared" ref="F47:F55" si="51">IF(OR(C47="",E47=""),"",E47-C47+1)</f>
        <v>8</v>
      </c>
      <c r="G47" s="9" t="s">
        <v>124</v>
      </c>
      <c r="H47" s="13" t="s">
        <v>125</v>
      </c>
      <c r="I47" s="16" t="s">
        <v>31</v>
      </c>
      <c r="J47" s="19"/>
      <c r="K47" s="1"/>
      <c r="L47" s="18" t="str">
        <f t="shared" ref="L47:V47" si="50">IF(OR($C47="",$E47=""),"",IF(AND($C47&lt;=MIN(L$8+6,$Y$4),$E47&gt;=L$8),IF(OR($D47="Team milestone",$D47="Course milestone"),"M",1),""))</f>
        <v/>
      </c>
      <c r="M47" s="18" t="str">
        <f t="shared" si="50"/>
        <v/>
      </c>
      <c r="N47" s="18" t="str">
        <f t="shared" si="50"/>
        <v/>
      </c>
      <c r="O47" s="18" t="str">
        <f t="shared" si="50"/>
        <v/>
      </c>
      <c r="P47" s="18">
        <f t="shared" si="50"/>
        <v>1</v>
      </c>
      <c r="Q47" s="18">
        <f t="shared" si="50"/>
        <v>1</v>
      </c>
      <c r="R47" s="18" t="str">
        <f t="shared" si="50"/>
        <v/>
      </c>
      <c r="S47" s="18" t="str">
        <f t="shared" si="50"/>
        <v/>
      </c>
      <c r="T47" s="18" t="str">
        <f t="shared" si="50"/>
        <v/>
      </c>
      <c r="U47" s="18" t="str">
        <f t="shared" si="50"/>
        <v/>
      </c>
      <c r="V47" s="18" t="str">
        <f t="shared" si="50"/>
        <v/>
      </c>
      <c r="W47" s="1"/>
      <c r="X47" s="13"/>
      <c r="Y47" s="13"/>
    </row>
    <row r="48" ht="42.0" customHeight="1">
      <c r="A48" s="1" t="s">
        <v>126</v>
      </c>
      <c r="B48" s="13" t="s">
        <v>127</v>
      </c>
      <c r="C48" s="14">
        <v>46324.0</v>
      </c>
      <c r="D48" s="13" t="s">
        <v>65</v>
      </c>
      <c r="E48" s="14">
        <v>46331.0</v>
      </c>
      <c r="F48" s="15">
        <f t="shared" si="51"/>
        <v>8</v>
      </c>
      <c r="G48" s="9" t="s">
        <v>124</v>
      </c>
      <c r="H48" s="13" t="s">
        <v>128</v>
      </c>
      <c r="I48" s="16" t="s">
        <v>75</v>
      </c>
      <c r="J48" s="19"/>
      <c r="K48" s="1"/>
      <c r="L48" s="18" t="str">
        <f t="shared" ref="L48:V48" si="52">IF(OR($C48="",$E48=""),"",IF(AND($C48&lt;=MIN(L$8+6,$Y$4),$E48&gt;=L$8),IF(OR($D48="Team milestone",$D48="Course milestone"),"M",1),""))</f>
        <v/>
      </c>
      <c r="M48" s="18" t="str">
        <f t="shared" si="52"/>
        <v/>
      </c>
      <c r="N48" s="18" t="str">
        <f t="shared" si="52"/>
        <v/>
      </c>
      <c r="O48" s="18" t="str">
        <f t="shared" si="52"/>
        <v/>
      </c>
      <c r="P48" s="18">
        <f t="shared" si="52"/>
        <v>1</v>
      </c>
      <c r="Q48" s="18">
        <f t="shared" si="52"/>
        <v>1</v>
      </c>
      <c r="R48" s="18" t="str">
        <f t="shared" si="52"/>
        <v/>
      </c>
      <c r="S48" s="18" t="str">
        <f t="shared" si="52"/>
        <v/>
      </c>
      <c r="T48" s="18" t="str">
        <f t="shared" si="52"/>
        <v/>
      </c>
      <c r="U48" s="18" t="str">
        <f t="shared" si="52"/>
        <v/>
      </c>
      <c r="V48" s="18" t="str">
        <f t="shared" si="52"/>
        <v/>
      </c>
      <c r="W48" s="1"/>
      <c r="X48" s="13" t="s">
        <v>129</v>
      </c>
      <c r="Y48" s="13"/>
    </row>
    <row r="49" ht="42.0" customHeight="1">
      <c r="A49" s="1" t="s">
        <v>130</v>
      </c>
      <c r="B49" s="13" t="s">
        <v>131</v>
      </c>
      <c r="C49" s="14">
        <v>46314.0</v>
      </c>
      <c r="D49" s="13" t="s">
        <v>65</v>
      </c>
      <c r="E49" s="14">
        <v>46318.0</v>
      </c>
      <c r="F49" s="15">
        <f t="shared" si="51"/>
        <v>5</v>
      </c>
      <c r="G49" s="9" t="s">
        <v>40</v>
      </c>
      <c r="H49" s="13" t="s">
        <v>66</v>
      </c>
      <c r="I49" s="16" t="s">
        <v>75</v>
      </c>
      <c r="J49" s="19"/>
      <c r="K49" s="1"/>
      <c r="L49" s="18" t="str">
        <f t="shared" ref="L49:V49" si="53">IF(OR($C49="",$E49=""),"",IF(AND($C49&lt;=MIN(L$8+6,$Y$4),$E49&gt;=L$8),IF(OR($D49="Team milestone",$D49="Course milestone"),"M",1),""))</f>
        <v/>
      </c>
      <c r="M49" s="18" t="str">
        <f t="shared" si="53"/>
        <v/>
      </c>
      <c r="N49" s="18" t="str">
        <f t="shared" si="53"/>
        <v/>
      </c>
      <c r="O49" s="18">
        <f t="shared" si="53"/>
        <v>1</v>
      </c>
      <c r="P49" s="18" t="str">
        <f t="shared" si="53"/>
        <v/>
      </c>
      <c r="Q49" s="18" t="str">
        <f t="shared" si="53"/>
        <v/>
      </c>
      <c r="R49" s="18" t="str">
        <f t="shared" si="53"/>
        <v/>
      </c>
      <c r="S49" s="18" t="str">
        <f t="shared" si="53"/>
        <v/>
      </c>
      <c r="T49" s="18" t="str">
        <f t="shared" si="53"/>
        <v/>
      </c>
      <c r="U49" s="18" t="str">
        <f t="shared" si="53"/>
        <v/>
      </c>
      <c r="V49" s="18" t="str">
        <f t="shared" si="53"/>
        <v/>
      </c>
      <c r="W49" s="1"/>
      <c r="X49" s="13"/>
      <c r="Y49" s="13"/>
    </row>
    <row r="50" ht="42.0" customHeight="1">
      <c r="A50" s="1" t="s">
        <v>132</v>
      </c>
      <c r="B50" s="13" t="s">
        <v>133</v>
      </c>
      <c r="C50" s="14">
        <v>46332.0</v>
      </c>
      <c r="D50" s="13" t="s">
        <v>65</v>
      </c>
      <c r="E50" s="14">
        <v>46335.0</v>
      </c>
      <c r="F50" s="15">
        <f t="shared" si="51"/>
        <v>4</v>
      </c>
      <c r="G50" s="9" t="s">
        <v>134</v>
      </c>
      <c r="H50" s="13" t="s">
        <v>135</v>
      </c>
      <c r="I50" s="16" t="s">
        <v>67</v>
      </c>
      <c r="J50" s="19"/>
      <c r="K50" s="1"/>
      <c r="L50" s="18" t="str">
        <f t="shared" ref="L50:V50" si="54">IF(OR($C50="",$E50=""),"",IF(AND($C50&lt;=MIN(L$8+6,$Y$4),$E50&gt;=L$8),IF(OR($D50="Team milestone",$D50="Course milestone"),"M",1),""))</f>
        <v/>
      </c>
      <c r="M50" s="18" t="str">
        <f t="shared" si="54"/>
        <v/>
      </c>
      <c r="N50" s="18" t="str">
        <f t="shared" si="54"/>
        <v/>
      </c>
      <c r="O50" s="18" t="str">
        <f t="shared" si="54"/>
        <v/>
      </c>
      <c r="P50" s="18" t="str">
        <f t="shared" si="54"/>
        <v/>
      </c>
      <c r="Q50" s="18">
        <f t="shared" si="54"/>
        <v>1</v>
      </c>
      <c r="R50" s="18">
        <f t="shared" si="54"/>
        <v>1</v>
      </c>
      <c r="S50" s="18" t="str">
        <f t="shared" si="54"/>
        <v/>
      </c>
      <c r="T50" s="18" t="str">
        <f t="shared" si="54"/>
        <v/>
      </c>
      <c r="U50" s="18" t="str">
        <f t="shared" si="54"/>
        <v/>
      </c>
      <c r="V50" s="18" t="str">
        <f t="shared" si="54"/>
        <v/>
      </c>
      <c r="W50" s="1"/>
      <c r="X50" s="13"/>
      <c r="Y50" s="13"/>
    </row>
    <row r="51" ht="42.0" customHeight="1">
      <c r="A51" s="1" t="s">
        <v>136</v>
      </c>
      <c r="B51" s="13" t="s">
        <v>137</v>
      </c>
      <c r="C51" s="14">
        <v>46331.0</v>
      </c>
      <c r="D51" s="13" t="s">
        <v>96</v>
      </c>
      <c r="E51" s="14">
        <v>46331.0</v>
      </c>
      <c r="F51" s="15">
        <f t="shared" si="51"/>
        <v>1</v>
      </c>
      <c r="G51" s="9" t="s">
        <v>134</v>
      </c>
      <c r="H51" s="13" t="s">
        <v>98</v>
      </c>
      <c r="I51" s="16" t="s">
        <v>31</v>
      </c>
      <c r="J51" s="19"/>
      <c r="K51" s="1"/>
      <c r="L51" s="18" t="str">
        <f t="shared" ref="L51:V51" si="55">IF(OR($C51="",$E51=""),"",IF(AND($C51&lt;=MIN(L$8+6,$Y$4),$E51&gt;=L$8),IF(OR($D51="Team milestone",$D51="Course milestone"),"M",1),""))</f>
        <v/>
      </c>
      <c r="M51" s="18" t="str">
        <f t="shared" si="55"/>
        <v/>
      </c>
      <c r="N51" s="18" t="str">
        <f t="shared" si="55"/>
        <v/>
      </c>
      <c r="O51" s="18" t="str">
        <f t="shared" si="55"/>
        <v/>
      </c>
      <c r="P51" s="18" t="str">
        <f t="shared" si="55"/>
        <v/>
      </c>
      <c r="Q51" s="18" t="str">
        <f t="shared" si="55"/>
        <v>M</v>
      </c>
      <c r="R51" s="18" t="str">
        <f t="shared" si="55"/>
        <v/>
      </c>
      <c r="S51" s="18" t="str">
        <f t="shared" si="55"/>
        <v/>
      </c>
      <c r="T51" s="18" t="str">
        <f t="shared" si="55"/>
        <v/>
      </c>
      <c r="U51" s="18" t="str">
        <f t="shared" si="55"/>
        <v/>
      </c>
      <c r="V51" s="18" t="str">
        <f t="shared" si="55"/>
        <v/>
      </c>
      <c r="W51" s="1"/>
      <c r="X51" s="13"/>
      <c r="Y51" s="13"/>
    </row>
    <row r="52" ht="42.0" customHeight="1">
      <c r="A52" s="1" t="s">
        <v>138</v>
      </c>
      <c r="B52" s="13" t="s">
        <v>139</v>
      </c>
      <c r="C52" s="14">
        <v>46336.0</v>
      </c>
      <c r="D52" s="13" t="s">
        <v>65</v>
      </c>
      <c r="E52" s="14">
        <v>46338.0</v>
      </c>
      <c r="F52" s="15">
        <f t="shared" si="51"/>
        <v>3</v>
      </c>
      <c r="G52" s="9" t="s">
        <v>132</v>
      </c>
      <c r="H52" s="13" t="s">
        <v>135</v>
      </c>
      <c r="I52" s="16" t="s">
        <v>75</v>
      </c>
      <c r="J52" s="19"/>
      <c r="K52" s="1"/>
      <c r="L52" s="18" t="str">
        <f t="shared" ref="L52:V52" si="56">IF(OR($C52="",$E52=""),"",IF(AND($C52&lt;=MIN(L$8+6,$Y$4),$E52&gt;=L$8),IF(OR($D52="Team milestone",$D52="Course milestone"),"M",1),""))</f>
        <v/>
      </c>
      <c r="M52" s="18" t="str">
        <f t="shared" si="56"/>
        <v/>
      </c>
      <c r="N52" s="18" t="str">
        <f t="shared" si="56"/>
        <v/>
      </c>
      <c r="O52" s="18" t="str">
        <f t="shared" si="56"/>
        <v/>
      </c>
      <c r="P52" s="18" t="str">
        <f t="shared" si="56"/>
        <v/>
      </c>
      <c r="Q52" s="18" t="str">
        <f t="shared" si="56"/>
        <v/>
      </c>
      <c r="R52" s="18">
        <f t="shared" si="56"/>
        <v>1</v>
      </c>
      <c r="S52" s="18" t="str">
        <f t="shared" si="56"/>
        <v/>
      </c>
      <c r="T52" s="18" t="str">
        <f t="shared" si="56"/>
        <v/>
      </c>
      <c r="U52" s="18" t="str">
        <f t="shared" si="56"/>
        <v/>
      </c>
      <c r="V52" s="18" t="str">
        <f t="shared" si="56"/>
        <v/>
      </c>
      <c r="W52" s="1"/>
      <c r="X52" s="13"/>
      <c r="Y52" s="13"/>
    </row>
    <row r="53" ht="42.0" customHeight="1">
      <c r="A53" s="1" t="s">
        <v>140</v>
      </c>
      <c r="B53" s="13" t="s">
        <v>141</v>
      </c>
      <c r="C53" s="14">
        <v>46339.0</v>
      </c>
      <c r="D53" s="13" t="s">
        <v>65</v>
      </c>
      <c r="E53" s="14">
        <v>46342.0</v>
      </c>
      <c r="F53" s="15">
        <f t="shared" si="51"/>
        <v>4</v>
      </c>
      <c r="G53" s="9" t="s">
        <v>138</v>
      </c>
      <c r="H53" s="13" t="s">
        <v>135</v>
      </c>
      <c r="I53" s="16" t="s">
        <v>67</v>
      </c>
      <c r="J53" s="19"/>
      <c r="K53" s="1"/>
      <c r="L53" s="18" t="str">
        <f t="shared" ref="L53:V53" si="57">IF(OR($C53="",$E53=""),"",IF(AND($C53&lt;=MIN(L$8+6,$Y$4),$E53&gt;=L$8),IF(OR($D53="Team milestone",$D53="Course milestone"),"M",1),""))</f>
        <v/>
      </c>
      <c r="M53" s="18" t="str">
        <f t="shared" si="57"/>
        <v/>
      </c>
      <c r="N53" s="18" t="str">
        <f t="shared" si="57"/>
        <v/>
      </c>
      <c r="O53" s="18" t="str">
        <f t="shared" si="57"/>
        <v/>
      </c>
      <c r="P53" s="18" t="str">
        <f t="shared" si="57"/>
        <v/>
      </c>
      <c r="Q53" s="18" t="str">
        <f t="shared" si="57"/>
        <v/>
      </c>
      <c r="R53" s="18">
        <f t="shared" si="57"/>
        <v>1</v>
      </c>
      <c r="S53" s="18">
        <f t="shared" si="57"/>
        <v>1</v>
      </c>
      <c r="T53" s="18" t="str">
        <f t="shared" si="57"/>
        <v/>
      </c>
      <c r="U53" s="18" t="str">
        <f t="shared" si="57"/>
        <v/>
      </c>
      <c r="V53" s="18" t="str">
        <f t="shared" si="57"/>
        <v/>
      </c>
      <c r="W53" s="1"/>
      <c r="X53" s="13"/>
      <c r="Y53" s="13"/>
    </row>
    <row r="54" ht="42.0" customHeight="1">
      <c r="A54" s="1" t="s">
        <v>142</v>
      </c>
      <c r="B54" s="13" t="s">
        <v>143</v>
      </c>
      <c r="C54" s="14">
        <v>46343.0</v>
      </c>
      <c r="D54" s="13" t="s">
        <v>65</v>
      </c>
      <c r="E54" s="14">
        <v>46349.0</v>
      </c>
      <c r="F54" s="15">
        <f t="shared" si="51"/>
        <v>7</v>
      </c>
      <c r="G54" s="9" t="s">
        <v>140</v>
      </c>
      <c r="H54" s="13" t="s">
        <v>144</v>
      </c>
      <c r="I54" s="16" t="s">
        <v>31</v>
      </c>
      <c r="J54" s="19"/>
      <c r="K54" s="1"/>
      <c r="L54" s="18" t="str">
        <f t="shared" ref="L54:V54" si="58">IF(OR($C54="",$E54=""),"",IF(AND($C54&lt;=MIN(L$8+6,$Y$4),$E54&gt;=L$8),IF(OR($D54="Team milestone",$D54="Course milestone"),"M",1),""))</f>
        <v/>
      </c>
      <c r="M54" s="18" t="str">
        <f t="shared" si="58"/>
        <v/>
      </c>
      <c r="N54" s="18" t="str">
        <f t="shared" si="58"/>
        <v/>
      </c>
      <c r="O54" s="18" t="str">
        <f t="shared" si="58"/>
        <v/>
      </c>
      <c r="P54" s="18" t="str">
        <f t="shared" si="58"/>
        <v/>
      </c>
      <c r="Q54" s="18" t="str">
        <f t="shared" si="58"/>
        <v/>
      </c>
      <c r="R54" s="18" t="str">
        <f t="shared" si="58"/>
        <v/>
      </c>
      <c r="S54" s="18">
        <f t="shared" si="58"/>
        <v>1</v>
      </c>
      <c r="T54" s="18">
        <f t="shared" si="58"/>
        <v>1</v>
      </c>
      <c r="U54" s="18" t="str">
        <f t="shared" si="58"/>
        <v/>
      </c>
      <c r="V54" s="18" t="str">
        <f t="shared" si="58"/>
        <v/>
      </c>
      <c r="W54" s="1"/>
      <c r="X54" s="13"/>
      <c r="Y54" s="13"/>
    </row>
    <row r="55" ht="42.0" customHeight="1">
      <c r="A55" s="1" t="s">
        <v>145</v>
      </c>
      <c r="B55" s="13" t="s">
        <v>146</v>
      </c>
      <c r="C55" s="14">
        <v>46349.0</v>
      </c>
      <c r="D55" s="13" t="s">
        <v>96</v>
      </c>
      <c r="E55" s="14">
        <v>46349.0</v>
      </c>
      <c r="F55" s="15">
        <f t="shared" si="51"/>
        <v>1</v>
      </c>
      <c r="G55" s="9" t="s">
        <v>142</v>
      </c>
      <c r="H55" s="13" t="s">
        <v>98</v>
      </c>
      <c r="I55" s="16" t="s">
        <v>31</v>
      </c>
      <c r="J55" s="19"/>
      <c r="K55" s="1"/>
      <c r="L55" s="18" t="str">
        <f t="shared" ref="L55:V55" si="59">IF(OR($C55="",$E55=""),"",IF(AND($C55&lt;=MIN(L$8+6,$Y$4),$E55&gt;=L$8),IF(OR($D55="Team milestone",$D55="Course milestone"),"M",1),""))</f>
        <v/>
      </c>
      <c r="M55" s="18" t="str">
        <f t="shared" si="59"/>
        <v/>
      </c>
      <c r="N55" s="18" t="str">
        <f t="shared" si="59"/>
        <v/>
      </c>
      <c r="O55" s="18" t="str">
        <f t="shared" si="59"/>
        <v/>
      </c>
      <c r="P55" s="18" t="str">
        <f t="shared" si="59"/>
        <v/>
      </c>
      <c r="Q55" s="18" t="str">
        <f t="shared" si="59"/>
        <v/>
      </c>
      <c r="R55" s="18" t="str">
        <f t="shared" si="59"/>
        <v/>
      </c>
      <c r="S55" s="18" t="str">
        <f t="shared" si="59"/>
        <v/>
      </c>
      <c r="T55" s="18" t="str">
        <f t="shared" si="59"/>
        <v>M</v>
      </c>
      <c r="U55" s="18" t="str">
        <f t="shared" si="59"/>
        <v/>
      </c>
      <c r="V55" s="18" t="str">
        <f t="shared" si="59"/>
        <v/>
      </c>
      <c r="W55" s="1"/>
      <c r="X55" s="13"/>
      <c r="Y55" s="13"/>
    </row>
    <row r="56" ht="24.75" customHeight="1">
      <c r="A56" s="12" t="s">
        <v>147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1"/>
      <c r="X56" s="1"/>
      <c r="Y56" s="1"/>
    </row>
    <row r="57" ht="42.0" customHeight="1">
      <c r="A57" s="1" t="s">
        <v>148</v>
      </c>
      <c r="B57" s="13" t="s">
        <v>149</v>
      </c>
      <c r="C57" s="14">
        <v>46343.0</v>
      </c>
      <c r="D57" s="13" t="s">
        <v>65</v>
      </c>
      <c r="E57" s="14">
        <v>46345.0</v>
      </c>
      <c r="F57" s="15">
        <f t="shared" ref="F57:F66" si="61">IF(OR(C57="",E57=""),"",E57-C57+1)</f>
        <v>3</v>
      </c>
      <c r="G57" s="9" t="s">
        <v>140</v>
      </c>
      <c r="H57" s="13" t="s">
        <v>98</v>
      </c>
      <c r="I57" s="16" t="s">
        <v>75</v>
      </c>
      <c r="J57" s="19"/>
      <c r="K57" s="1"/>
      <c r="L57" s="18" t="str">
        <f t="shared" ref="L57:V57" si="60">IF(OR($C57="",$E57=""),"",IF(AND($C57&lt;=MIN(L$8+6,$Y$4),$E57&gt;=L$8),IF(OR($D57="Team milestone",$D57="Course milestone"),"M",1),""))</f>
        <v/>
      </c>
      <c r="M57" s="18" t="str">
        <f t="shared" si="60"/>
        <v/>
      </c>
      <c r="N57" s="18" t="str">
        <f t="shared" si="60"/>
        <v/>
      </c>
      <c r="O57" s="18" t="str">
        <f t="shared" si="60"/>
        <v/>
      </c>
      <c r="P57" s="18" t="str">
        <f t="shared" si="60"/>
        <v/>
      </c>
      <c r="Q57" s="18" t="str">
        <f t="shared" si="60"/>
        <v/>
      </c>
      <c r="R57" s="18" t="str">
        <f t="shared" si="60"/>
        <v/>
      </c>
      <c r="S57" s="18">
        <f t="shared" si="60"/>
        <v>1</v>
      </c>
      <c r="T57" s="18" t="str">
        <f t="shared" si="60"/>
        <v/>
      </c>
      <c r="U57" s="18" t="str">
        <f t="shared" si="60"/>
        <v/>
      </c>
      <c r="V57" s="18" t="str">
        <f t="shared" si="60"/>
        <v/>
      </c>
      <c r="W57" s="1"/>
      <c r="X57" s="13" t="s">
        <v>150</v>
      </c>
      <c r="Y57" s="13"/>
    </row>
    <row r="58" ht="42.0" customHeight="1">
      <c r="A58" s="1" t="s">
        <v>151</v>
      </c>
      <c r="B58" s="13" t="s">
        <v>152</v>
      </c>
      <c r="C58" s="14">
        <v>46342.0</v>
      </c>
      <c r="D58" s="13" t="s">
        <v>65</v>
      </c>
      <c r="E58" s="14">
        <v>46351.0</v>
      </c>
      <c r="F58" s="15">
        <f t="shared" si="61"/>
        <v>10</v>
      </c>
      <c r="G58" s="9" t="s">
        <v>138</v>
      </c>
      <c r="H58" s="13" t="s">
        <v>98</v>
      </c>
      <c r="I58" s="16" t="s">
        <v>72</v>
      </c>
      <c r="J58" s="19"/>
      <c r="K58" s="1"/>
      <c r="L58" s="18" t="str">
        <f t="shared" ref="L58:V58" si="62">IF(OR($C58="",$E58=""),"",IF(AND($C58&lt;=MIN(L$8+6,$Y$4),$E58&gt;=L$8),IF(OR($D58="Team milestone",$D58="Course milestone"),"M",1),""))</f>
        <v/>
      </c>
      <c r="M58" s="18" t="str">
        <f t="shared" si="62"/>
        <v/>
      </c>
      <c r="N58" s="18" t="str">
        <f t="shared" si="62"/>
        <v/>
      </c>
      <c r="O58" s="18" t="str">
        <f t="shared" si="62"/>
        <v/>
      </c>
      <c r="P58" s="18" t="str">
        <f t="shared" si="62"/>
        <v/>
      </c>
      <c r="Q58" s="18" t="str">
        <f t="shared" si="62"/>
        <v/>
      </c>
      <c r="R58" s="18" t="str">
        <f t="shared" si="62"/>
        <v/>
      </c>
      <c r="S58" s="18">
        <f t="shared" si="62"/>
        <v>1</v>
      </c>
      <c r="T58" s="18">
        <f t="shared" si="62"/>
        <v>1</v>
      </c>
      <c r="U58" s="18" t="str">
        <f t="shared" si="62"/>
        <v/>
      </c>
      <c r="V58" s="18" t="str">
        <f t="shared" si="62"/>
        <v/>
      </c>
      <c r="W58" s="1"/>
      <c r="X58" s="13" t="s">
        <v>153</v>
      </c>
      <c r="Y58" s="13"/>
    </row>
    <row r="59" ht="42.0" customHeight="1">
      <c r="A59" s="1" t="s">
        <v>154</v>
      </c>
      <c r="B59" s="13" t="s">
        <v>155</v>
      </c>
      <c r="C59" s="14">
        <v>46349.0</v>
      </c>
      <c r="D59" s="13" t="s">
        <v>65</v>
      </c>
      <c r="E59" s="14">
        <v>46351.0</v>
      </c>
      <c r="F59" s="15">
        <f t="shared" si="61"/>
        <v>3</v>
      </c>
      <c r="G59" s="9" t="s">
        <v>140</v>
      </c>
      <c r="H59" s="13" t="s">
        <v>156</v>
      </c>
      <c r="I59" s="16" t="s">
        <v>72</v>
      </c>
      <c r="J59" s="19"/>
      <c r="K59" s="1"/>
      <c r="L59" s="18" t="str">
        <f t="shared" ref="L59:V59" si="63">IF(OR($C59="",$E59=""),"",IF(AND($C59&lt;=MIN(L$8+6,$Y$4),$E59&gt;=L$8),IF(OR($D59="Team milestone",$D59="Course milestone"),"M",1),""))</f>
        <v/>
      </c>
      <c r="M59" s="18" t="str">
        <f t="shared" si="63"/>
        <v/>
      </c>
      <c r="N59" s="18" t="str">
        <f t="shared" si="63"/>
        <v/>
      </c>
      <c r="O59" s="18" t="str">
        <f t="shared" si="63"/>
        <v/>
      </c>
      <c r="P59" s="18" t="str">
        <f t="shared" si="63"/>
        <v/>
      </c>
      <c r="Q59" s="18" t="str">
        <f t="shared" si="63"/>
        <v/>
      </c>
      <c r="R59" s="18" t="str">
        <f t="shared" si="63"/>
        <v/>
      </c>
      <c r="S59" s="18" t="str">
        <f t="shared" si="63"/>
        <v/>
      </c>
      <c r="T59" s="18">
        <f t="shared" si="63"/>
        <v>1</v>
      </c>
      <c r="U59" s="18" t="str">
        <f t="shared" si="63"/>
        <v/>
      </c>
      <c r="V59" s="18" t="str">
        <f t="shared" si="63"/>
        <v/>
      </c>
      <c r="W59" s="1"/>
      <c r="X59" s="13"/>
      <c r="Y59" s="13"/>
    </row>
    <row r="60" ht="42.0" customHeight="1">
      <c r="A60" s="1" t="s">
        <v>157</v>
      </c>
      <c r="B60" s="13" t="s">
        <v>158</v>
      </c>
      <c r="C60" s="14">
        <v>46356.0</v>
      </c>
      <c r="D60" s="13" t="s">
        <v>65</v>
      </c>
      <c r="E60" s="14">
        <v>46358.0</v>
      </c>
      <c r="F60" s="15">
        <f t="shared" si="61"/>
        <v>3</v>
      </c>
      <c r="G60" s="9" t="s">
        <v>159</v>
      </c>
      <c r="H60" s="13" t="s">
        <v>98</v>
      </c>
      <c r="I60" s="16" t="s">
        <v>31</v>
      </c>
      <c r="J60" s="19"/>
      <c r="K60" s="1"/>
      <c r="L60" s="18" t="str">
        <f t="shared" ref="L60:V60" si="64">IF(OR($C60="",$E60=""),"",IF(AND($C60&lt;=MIN(L$8+6,$Y$4),$E60&gt;=L$8),IF(OR($D60="Team milestone",$D60="Course milestone"),"M",1),""))</f>
        <v/>
      </c>
      <c r="M60" s="18" t="str">
        <f t="shared" si="64"/>
        <v/>
      </c>
      <c r="N60" s="18" t="str">
        <f t="shared" si="64"/>
        <v/>
      </c>
      <c r="O60" s="18" t="str">
        <f t="shared" si="64"/>
        <v/>
      </c>
      <c r="P60" s="18" t="str">
        <f t="shared" si="64"/>
        <v/>
      </c>
      <c r="Q60" s="18" t="str">
        <f t="shared" si="64"/>
        <v/>
      </c>
      <c r="R60" s="18" t="str">
        <f t="shared" si="64"/>
        <v/>
      </c>
      <c r="S60" s="18" t="str">
        <f t="shared" si="64"/>
        <v/>
      </c>
      <c r="T60" s="18" t="str">
        <f t="shared" si="64"/>
        <v/>
      </c>
      <c r="U60" s="18">
        <f t="shared" si="64"/>
        <v>1</v>
      </c>
      <c r="V60" s="18" t="str">
        <f t="shared" si="64"/>
        <v/>
      </c>
      <c r="W60" s="1"/>
      <c r="X60" s="13"/>
      <c r="Y60" s="13"/>
    </row>
    <row r="61" ht="42.0" customHeight="1">
      <c r="A61" s="1" t="s">
        <v>160</v>
      </c>
      <c r="B61" s="13" t="s">
        <v>161</v>
      </c>
      <c r="C61" s="14">
        <v>46359.0</v>
      </c>
      <c r="D61" s="13" t="s">
        <v>65</v>
      </c>
      <c r="E61" s="14">
        <v>46360.0</v>
      </c>
      <c r="F61" s="15">
        <f t="shared" si="61"/>
        <v>2</v>
      </c>
      <c r="G61" s="9" t="s">
        <v>157</v>
      </c>
      <c r="H61" s="13" t="s">
        <v>162</v>
      </c>
      <c r="I61" s="16" t="s">
        <v>31</v>
      </c>
      <c r="J61" s="19"/>
      <c r="K61" s="1"/>
      <c r="L61" s="18" t="str">
        <f t="shared" ref="L61:V61" si="65">IF(OR($C61="",$E61=""),"",IF(AND($C61&lt;=MIN(L$8+6,$Y$4),$E61&gt;=L$8),IF(OR($D61="Team milestone",$D61="Course milestone"),"M",1),""))</f>
        <v/>
      </c>
      <c r="M61" s="18" t="str">
        <f t="shared" si="65"/>
        <v/>
      </c>
      <c r="N61" s="18" t="str">
        <f t="shared" si="65"/>
        <v/>
      </c>
      <c r="O61" s="18" t="str">
        <f t="shared" si="65"/>
        <v/>
      </c>
      <c r="P61" s="18" t="str">
        <f t="shared" si="65"/>
        <v/>
      </c>
      <c r="Q61" s="18" t="str">
        <f t="shared" si="65"/>
        <v/>
      </c>
      <c r="R61" s="18" t="str">
        <f t="shared" si="65"/>
        <v/>
      </c>
      <c r="S61" s="18" t="str">
        <f t="shared" si="65"/>
        <v/>
      </c>
      <c r="T61" s="18" t="str">
        <f t="shared" si="65"/>
        <v/>
      </c>
      <c r="U61" s="18">
        <f t="shared" si="65"/>
        <v>1</v>
      </c>
      <c r="V61" s="18" t="str">
        <f t="shared" si="65"/>
        <v/>
      </c>
      <c r="W61" s="1"/>
      <c r="X61" s="13"/>
      <c r="Y61" s="13"/>
    </row>
    <row r="62" ht="42.0" customHeight="1">
      <c r="A62" s="1" t="s">
        <v>163</v>
      </c>
      <c r="B62" s="13" t="s">
        <v>164</v>
      </c>
      <c r="C62" s="14">
        <v>46359.0</v>
      </c>
      <c r="D62" s="13" t="s">
        <v>96</v>
      </c>
      <c r="E62" s="14">
        <v>46359.0</v>
      </c>
      <c r="F62" s="15">
        <f t="shared" si="61"/>
        <v>1</v>
      </c>
      <c r="G62" s="9" t="s">
        <v>157</v>
      </c>
      <c r="H62" s="13" t="s">
        <v>98</v>
      </c>
      <c r="I62" s="16" t="s">
        <v>31</v>
      </c>
      <c r="J62" s="19"/>
      <c r="K62" s="1"/>
      <c r="L62" s="18" t="str">
        <f t="shared" ref="L62:V62" si="66">IF(OR($C62="",$E62=""),"",IF(AND($C62&lt;=MIN(L$8+6,$Y$4),$E62&gt;=L$8),IF(OR($D62="Team milestone",$D62="Course milestone"),"M",1),""))</f>
        <v/>
      </c>
      <c r="M62" s="18" t="str">
        <f t="shared" si="66"/>
        <v/>
      </c>
      <c r="N62" s="18" t="str">
        <f t="shared" si="66"/>
        <v/>
      </c>
      <c r="O62" s="18" t="str">
        <f t="shared" si="66"/>
        <v/>
      </c>
      <c r="P62" s="18" t="str">
        <f t="shared" si="66"/>
        <v/>
      </c>
      <c r="Q62" s="18" t="str">
        <f t="shared" si="66"/>
        <v/>
      </c>
      <c r="R62" s="18" t="str">
        <f t="shared" si="66"/>
        <v/>
      </c>
      <c r="S62" s="18" t="str">
        <f t="shared" si="66"/>
        <v/>
      </c>
      <c r="T62" s="18" t="str">
        <f t="shared" si="66"/>
        <v/>
      </c>
      <c r="U62" s="18" t="str">
        <f t="shared" si="66"/>
        <v>M</v>
      </c>
      <c r="V62" s="18" t="str">
        <f t="shared" si="66"/>
        <v/>
      </c>
      <c r="W62" s="1"/>
      <c r="X62" s="13"/>
      <c r="Y62" s="13"/>
    </row>
    <row r="63" ht="42.0" customHeight="1">
      <c r="A63" s="1" t="s">
        <v>165</v>
      </c>
      <c r="B63" s="13" t="s">
        <v>166</v>
      </c>
      <c r="C63" s="14">
        <v>46356.0</v>
      </c>
      <c r="D63" s="13" t="s">
        <v>65</v>
      </c>
      <c r="E63" s="14">
        <v>46360.0</v>
      </c>
      <c r="F63" s="15">
        <f t="shared" si="61"/>
        <v>5</v>
      </c>
      <c r="G63" s="9" t="s">
        <v>145</v>
      </c>
      <c r="H63" s="13" t="s">
        <v>98</v>
      </c>
      <c r="I63" s="16" t="s">
        <v>75</v>
      </c>
      <c r="J63" s="19"/>
      <c r="K63" s="1"/>
      <c r="L63" s="18" t="str">
        <f t="shared" ref="L63:V63" si="67">IF(OR($C63="",$E63=""),"",IF(AND($C63&lt;=MIN(L$8+6,$Y$4),$E63&gt;=L$8),IF(OR($D63="Team milestone",$D63="Course milestone"),"M",1),""))</f>
        <v/>
      </c>
      <c r="M63" s="18" t="str">
        <f t="shared" si="67"/>
        <v/>
      </c>
      <c r="N63" s="18" t="str">
        <f t="shared" si="67"/>
        <v/>
      </c>
      <c r="O63" s="18" t="str">
        <f t="shared" si="67"/>
        <v/>
      </c>
      <c r="P63" s="18" t="str">
        <f t="shared" si="67"/>
        <v/>
      </c>
      <c r="Q63" s="18" t="str">
        <f t="shared" si="67"/>
        <v/>
      </c>
      <c r="R63" s="18" t="str">
        <f t="shared" si="67"/>
        <v/>
      </c>
      <c r="S63" s="18" t="str">
        <f t="shared" si="67"/>
        <v/>
      </c>
      <c r="T63" s="18" t="str">
        <f t="shared" si="67"/>
        <v/>
      </c>
      <c r="U63" s="18">
        <f t="shared" si="67"/>
        <v>1</v>
      </c>
      <c r="V63" s="18" t="str">
        <f t="shared" si="67"/>
        <v/>
      </c>
      <c r="W63" s="1"/>
      <c r="X63" s="13"/>
      <c r="Y63" s="13"/>
    </row>
    <row r="64" ht="42.0" customHeight="1">
      <c r="A64" s="1" t="s">
        <v>167</v>
      </c>
      <c r="B64" s="13" t="s">
        <v>168</v>
      </c>
      <c r="C64" s="14">
        <v>46363.0</v>
      </c>
      <c r="D64" s="13" t="s">
        <v>65</v>
      </c>
      <c r="E64" s="14">
        <v>46364.0</v>
      </c>
      <c r="F64" s="15">
        <f t="shared" si="61"/>
        <v>2</v>
      </c>
      <c r="G64" s="9" t="s">
        <v>165</v>
      </c>
      <c r="H64" s="13" t="s">
        <v>162</v>
      </c>
      <c r="I64" s="16" t="s">
        <v>31</v>
      </c>
      <c r="J64" s="19"/>
      <c r="K64" s="1"/>
      <c r="L64" s="18" t="str">
        <f t="shared" ref="L64:V64" si="68">IF(OR($C64="",$E64=""),"",IF(AND($C64&lt;=MIN(L$8+6,$Y$4),$E64&gt;=L$8),IF(OR($D64="Team milestone",$D64="Course milestone"),"M",1),""))</f>
        <v/>
      </c>
      <c r="M64" s="18" t="str">
        <f t="shared" si="68"/>
        <v/>
      </c>
      <c r="N64" s="18" t="str">
        <f t="shared" si="68"/>
        <v/>
      </c>
      <c r="O64" s="18" t="str">
        <f t="shared" si="68"/>
        <v/>
      </c>
      <c r="P64" s="18" t="str">
        <f t="shared" si="68"/>
        <v/>
      </c>
      <c r="Q64" s="18" t="str">
        <f t="shared" si="68"/>
        <v/>
      </c>
      <c r="R64" s="18" t="str">
        <f t="shared" si="68"/>
        <v/>
      </c>
      <c r="S64" s="18" t="str">
        <f t="shared" si="68"/>
        <v/>
      </c>
      <c r="T64" s="18" t="str">
        <f t="shared" si="68"/>
        <v/>
      </c>
      <c r="U64" s="18" t="str">
        <f t="shared" si="68"/>
        <v/>
      </c>
      <c r="V64" s="18">
        <f t="shared" si="68"/>
        <v>1</v>
      </c>
      <c r="W64" s="1"/>
      <c r="X64" s="13"/>
      <c r="Y64" s="13"/>
    </row>
    <row r="65" ht="42.0" customHeight="1">
      <c r="A65" s="1" t="s">
        <v>169</v>
      </c>
      <c r="B65" s="13" t="s">
        <v>170</v>
      </c>
      <c r="C65" s="14">
        <v>46364.0</v>
      </c>
      <c r="D65" s="13" t="s">
        <v>96</v>
      </c>
      <c r="E65" s="14">
        <v>46364.0</v>
      </c>
      <c r="F65" s="15">
        <f t="shared" si="61"/>
        <v>1</v>
      </c>
      <c r="G65" s="9" t="s">
        <v>167</v>
      </c>
      <c r="H65" s="13" t="s">
        <v>98</v>
      </c>
      <c r="I65" s="16" t="s">
        <v>31</v>
      </c>
      <c r="J65" s="19"/>
      <c r="K65" s="1"/>
      <c r="L65" s="18" t="str">
        <f t="shared" ref="L65:V65" si="69">IF(OR($C65="",$E65=""),"",IF(AND($C65&lt;=MIN(L$8+6,$Y$4),$E65&gt;=L$8),IF(OR($D65="Team milestone",$D65="Course milestone"),"M",1),""))</f>
        <v/>
      </c>
      <c r="M65" s="18" t="str">
        <f t="shared" si="69"/>
        <v/>
      </c>
      <c r="N65" s="18" t="str">
        <f t="shared" si="69"/>
        <v/>
      </c>
      <c r="O65" s="18" t="str">
        <f t="shared" si="69"/>
        <v/>
      </c>
      <c r="P65" s="18" t="str">
        <f t="shared" si="69"/>
        <v/>
      </c>
      <c r="Q65" s="18" t="str">
        <f t="shared" si="69"/>
        <v/>
      </c>
      <c r="R65" s="18" t="str">
        <f t="shared" si="69"/>
        <v/>
      </c>
      <c r="S65" s="18" t="str">
        <f t="shared" si="69"/>
        <v/>
      </c>
      <c r="T65" s="18" t="str">
        <f t="shared" si="69"/>
        <v/>
      </c>
      <c r="U65" s="18" t="str">
        <f t="shared" si="69"/>
        <v/>
      </c>
      <c r="V65" s="18" t="str">
        <f t="shared" si="69"/>
        <v>M</v>
      </c>
      <c r="W65" s="1"/>
      <c r="X65" s="13"/>
      <c r="Y65" s="13"/>
    </row>
    <row r="66" ht="42.0" customHeight="1">
      <c r="A66" s="1" t="s">
        <v>171</v>
      </c>
      <c r="B66" s="13" t="s">
        <v>172</v>
      </c>
      <c r="C66" s="14">
        <v>46365.0</v>
      </c>
      <c r="D66" s="13" t="s">
        <v>65</v>
      </c>
      <c r="E66" s="14">
        <v>46365.0</v>
      </c>
      <c r="F66" s="15">
        <f t="shared" si="61"/>
        <v>1</v>
      </c>
      <c r="G66" s="9" t="s">
        <v>169</v>
      </c>
      <c r="H66" s="13" t="s">
        <v>162</v>
      </c>
      <c r="I66" s="16" t="s">
        <v>173</v>
      </c>
      <c r="J66" s="19"/>
      <c r="K66" s="1"/>
      <c r="L66" s="18" t="str">
        <f t="shared" ref="L66:V66" si="70">IF(OR($C66="",$E66=""),"",IF(AND($C66&lt;=MIN(L$8+6,$Y$4),$E66&gt;=L$8),IF(OR($D66="Team milestone",$D66="Course milestone"),"M",1),""))</f>
        <v/>
      </c>
      <c r="M66" s="18" t="str">
        <f t="shared" si="70"/>
        <v/>
      </c>
      <c r="N66" s="18" t="str">
        <f t="shared" si="70"/>
        <v/>
      </c>
      <c r="O66" s="18" t="str">
        <f t="shared" si="70"/>
        <v/>
      </c>
      <c r="P66" s="18" t="str">
        <f t="shared" si="70"/>
        <v/>
      </c>
      <c r="Q66" s="18" t="str">
        <f t="shared" si="70"/>
        <v/>
      </c>
      <c r="R66" s="18" t="str">
        <f t="shared" si="70"/>
        <v/>
      </c>
      <c r="S66" s="18" t="str">
        <f t="shared" si="70"/>
        <v/>
      </c>
      <c r="T66" s="18" t="str">
        <f t="shared" si="70"/>
        <v/>
      </c>
      <c r="U66" s="18" t="str">
        <f t="shared" si="70"/>
        <v/>
      </c>
      <c r="V66" s="18">
        <f t="shared" si="70"/>
        <v>1</v>
      </c>
      <c r="W66" s="1"/>
      <c r="X66" s="13" t="s">
        <v>174</v>
      </c>
      <c r="Y66" s="13"/>
    </row>
    <row r="67" ht="24.75" customHeight="1">
      <c r="A67" s="12" t="s">
        <v>175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1"/>
      <c r="X67" s="1"/>
      <c r="Y67" s="1"/>
    </row>
    <row r="68" ht="42.0" customHeight="1">
      <c r="A68" s="1" t="s">
        <v>176</v>
      </c>
      <c r="B68" s="13" t="s">
        <v>177</v>
      </c>
      <c r="C68" s="14">
        <v>46293.0</v>
      </c>
      <c r="D68" s="13" t="s">
        <v>65</v>
      </c>
      <c r="E68" s="14">
        <v>46297.0</v>
      </c>
      <c r="F68" s="15">
        <f t="shared" ref="F68:F76" si="72">IF(OR(C68="",E68=""),"",E68-C68+1)</f>
        <v>5</v>
      </c>
      <c r="G68" s="9"/>
      <c r="H68" s="13" t="s">
        <v>178</v>
      </c>
      <c r="I68" s="16" t="s">
        <v>31</v>
      </c>
      <c r="J68" s="17"/>
      <c r="K68" s="1"/>
      <c r="L68" s="18">
        <f t="shared" ref="L68:V68" si="71">IF(OR($C68="",$E68=""),"",IF(AND($C68&lt;=MIN(L$8+6,$Y$4),$E68&gt;=L$8),IF(OR($D68="Team milestone",$D68="Course milestone"),"M",1),""))</f>
        <v>1</v>
      </c>
      <c r="M68" s="18" t="str">
        <f t="shared" si="71"/>
        <v/>
      </c>
      <c r="N68" s="18" t="str">
        <f t="shared" si="71"/>
        <v/>
      </c>
      <c r="O68" s="18" t="str">
        <f t="shared" si="71"/>
        <v/>
      </c>
      <c r="P68" s="18" t="str">
        <f t="shared" si="71"/>
        <v/>
      </c>
      <c r="Q68" s="18" t="str">
        <f t="shared" si="71"/>
        <v/>
      </c>
      <c r="R68" s="18" t="str">
        <f t="shared" si="71"/>
        <v/>
      </c>
      <c r="S68" s="18" t="str">
        <f t="shared" si="71"/>
        <v/>
      </c>
      <c r="T68" s="18" t="str">
        <f t="shared" si="71"/>
        <v/>
      </c>
      <c r="U68" s="18" t="str">
        <f t="shared" si="71"/>
        <v/>
      </c>
      <c r="V68" s="18" t="str">
        <f t="shared" si="71"/>
        <v/>
      </c>
      <c r="W68" s="1"/>
      <c r="X68" s="13" t="s">
        <v>179</v>
      </c>
      <c r="Y68" s="13"/>
    </row>
    <row r="69" ht="42.0" customHeight="1">
      <c r="A69" s="1" t="s">
        <v>180</v>
      </c>
      <c r="B69" s="13" t="s">
        <v>181</v>
      </c>
      <c r="C69" s="14">
        <v>46300.0</v>
      </c>
      <c r="D69" s="13" t="s">
        <v>65</v>
      </c>
      <c r="E69" s="14">
        <v>46304.0</v>
      </c>
      <c r="F69" s="15">
        <f t="shared" si="72"/>
        <v>5</v>
      </c>
      <c r="G69" s="9"/>
      <c r="H69" s="13" t="s">
        <v>178</v>
      </c>
      <c r="I69" s="16" t="s">
        <v>31</v>
      </c>
      <c r="J69" s="17"/>
      <c r="K69" s="1"/>
      <c r="L69" s="18" t="str">
        <f t="shared" ref="L69:V69" si="73">IF(OR($C69="",$E69=""),"",IF(AND($C69&lt;=MIN(L$8+6,$Y$4),$E69&gt;=L$8),IF(OR($D69="Team milestone",$D69="Course milestone"),"M",1),""))</f>
        <v/>
      </c>
      <c r="M69" s="18">
        <f t="shared" si="73"/>
        <v>1</v>
      </c>
      <c r="N69" s="18" t="str">
        <f t="shared" si="73"/>
        <v/>
      </c>
      <c r="O69" s="18" t="str">
        <f t="shared" si="73"/>
        <v/>
      </c>
      <c r="P69" s="18" t="str">
        <f t="shared" si="73"/>
        <v/>
      </c>
      <c r="Q69" s="18" t="str">
        <f t="shared" si="73"/>
        <v/>
      </c>
      <c r="R69" s="18" t="str">
        <f t="shared" si="73"/>
        <v/>
      </c>
      <c r="S69" s="18" t="str">
        <f t="shared" si="73"/>
        <v/>
      </c>
      <c r="T69" s="18" t="str">
        <f t="shared" si="73"/>
        <v/>
      </c>
      <c r="U69" s="18" t="str">
        <f t="shared" si="73"/>
        <v/>
      </c>
      <c r="V69" s="18" t="str">
        <f t="shared" si="73"/>
        <v/>
      </c>
      <c r="W69" s="1"/>
      <c r="X69" s="13" t="s">
        <v>179</v>
      </c>
      <c r="Y69" s="13"/>
    </row>
    <row r="70" ht="42.0" customHeight="1">
      <c r="A70" s="1" t="s">
        <v>182</v>
      </c>
      <c r="B70" s="13" t="s">
        <v>183</v>
      </c>
      <c r="C70" s="14">
        <v>46307.0</v>
      </c>
      <c r="D70" s="13" t="s">
        <v>65</v>
      </c>
      <c r="E70" s="14">
        <v>46311.0</v>
      </c>
      <c r="F70" s="15">
        <f t="shared" si="72"/>
        <v>5</v>
      </c>
      <c r="G70" s="9"/>
      <c r="H70" s="13" t="s">
        <v>178</v>
      </c>
      <c r="I70" s="16" t="s">
        <v>31</v>
      </c>
      <c r="J70" s="19"/>
      <c r="K70" s="1"/>
      <c r="L70" s="18" t="str">
        <f t="shared" ref="L70:V70" si="74">IF(OR($C70="",$E70=""),"",IF(AND($C70&lt;=MIN(L$8+6,$Y$4),$E70&gt;=L$8),IF(OR($D70="Team milestone",$D70="Course milestone"),"M",1),""))</f>
        <v/>
      </c>
      <c r="M70" s="18" t="str">
        <f t="shared" si="74"/>
        <v/>
      </c>
      <c r="N70" s="18">
        <f t="shared" si="74"/>
        <v>1</v>
      </c>
      <c r="O70" s="18" t="str">
        <f t="shared" si="74"/>
        <v/>
      </c>
      <c r="P70" s="18" t="str">
        <f t="shared" si="74"/>
        <v/>
      </c>
      <c r="Q70" s="18" t="str">
        <f t="shared" si="74"/>
        <v/>
      </c>
      <c r="R70" s="18" t="str">
        <f t="shared" si="74"/>
        <v/>
      </c>
      <c r="S70" s="18" t="str">
        <f t="shared" si="74"/>
        <v/>
      </c>
      <c r="T70" s="18" t="str">
        <f t="shared" si="74"/>
        <v/>
      </c>
      <c r="U70" s="18" t="str">
        <f t="shared" si="74"/>
        <v/>
      </c>
      <c r="V70" s="18" t="str">
        <f t="shared" si="74"/>
        <v/>
      </c>
      <c r="W70" s="1"/>
      <c r="X70" s="13" t="s">
        <v>179</v>
      </c>
      <c r="Y70" s="13"/>
    </row>
    <row r="71" ht="42.0" customHeight="1">
      <c r="A71" s="1" t="s">
        <v>184</v>
      </c>
      <c r="B71" s="13" t="s">
        <v>185</v>
      </c>
      <c r="C71" s="14">
        <v>46314.0</v>
      </c>
      <c r="D71" s="13" t="s">
        <v>65</v>
      </c>
      <c r="E71" s="14">
        <v>46318.0</v>
      </c>
      <c r="F71" s="15">
        <f t="shared" si="72"/>
        <v>5</v>
      </c>
      <c r="G71" s="9"/>
      <c r="H71" s="13" t="s">
        <v>178</v>
      </c>
      <c r="I71" s="16" t="s">
        <v>31</v>
      </c>
      <c r="J71" s="19"/>
      <c r="K71" s="1"/>
      <c r="L71" s="18" t="str">
        <f t="shared" ref="L71:V71" si="75">IF(OR($C71="",$E71=""),"",IF(AND($C71&lt;=MIN(L$8+6,$Y$4),$E71&gt;=L$8),IF(OR($D71="Team milestone",$D71="Course milestone"),"M",1),""))</f>
        <v/>
      </c>
      <c r="M71" s="18" t="str">
        <f t="shared" si="75"/>
        <v/>
      </c>
      <c r="N71" s="18" t="str">
        <f t="shared" si="75"/>
        <v/>
      </c>
      <c r="O71" s="18">
        <f t="shared" si="75"/>
        <v>1</v>
      </c>
      <c r="P71" s="18" t="str">
        <f t="shared" si="75"/>
        <v/>
      </c>
      <c r="Q71" s="18" t="str">
        <f t="shared" si="75"/>
        <v/>
      </c>
      <c r="R71" s="18" t="str">
        <f t="shared" si="75"/>
        <v/>
      </c>
      <c r="S71" s="18" t="str">
        <f t="shared" si="75"/>
        <v/>
      </c>
      <c r="T71" s="18" t="str">
        <f t="shared" si="75"/>
        <v/>
      </c>
      <c r="U71" s="18" t="str">
        <f t="shared" si="75"/>
        <v/>
      </c>
      <c r="V71" s="18" t="str">
        <f t="shared" si="75"/>
        <v/>
      </c>
      <c r="W71" s="1"/>
      <c r="X71" s="13" t="s">
        <v>179</v>
      </c>
      <c r="Y71" s="13"/>
    </row>
    <row r="72" ht="42.0" customHeight="1">
      <c r="A72" s="1" t="s">
        <v>186</v>
      </c>
      <c r="B72" s="13" t="s">
        <v>187</v>
      </c>
      <c r="C72" s="14">
        <v>46321.0</v>
      </c>
      <c r="D72" s="13" t="s">
        <v>65</v>
      </c>
      <c r="E72" s="14">
        <v>46325.0</v>
      </c>
      <c r="F72" s="15">
        <f t="shared" si="72"/>
        <v>5</v>
      </c>
      <c r="G72" s="9"/>
      <c r="H72" s="13" t="s">
        <v>178</v>
      </c>
      <c r="I72" s="16" t="s">
        <v>31</v>
      </c>
      <c r="J72" s="19"/>
      <c r="K72" s="1"/>
      <c r="L72" s="18" t="str">
        <f t="shared" ref="L72:V72" si="76">IF(OR($C72="",$E72=""),"",IF(AND($C72&lt;=MIN(L$8+6,$Y$4),$E72&gt;=L$8),IF(OR($D72="Team milestone",$D72="Course milestone"),"M",1),""))</f>
        <v/>
      </c>
      <c r="M72" s="18" t="str">
        <f t="shared" si="76"/>
        <v/>
      </c>
      <c r="N72" s="18" t="str">
        <f t="shared" si="76"/>
        <v/>
      </c>
      <c r="O72" s="18" t="str">
        <f t="shared" si="76"/>
        <v/>
      </c>
      <c r="P72" s="18">
        <f t="shared" si="76"/>
        <v>1</v>
      </c>
      <c r="Q72" s="18" t="str">
        <f t="shared" si="76"/>
        <v/>
      </c>
      <c r="R72" s="18" t="str">
        <f t="shared" si="76"/>
        <v/>
      </c>
      <c r="S72" s="18" t="str">
        <f t="shared" si="76"/>
        <v/>
      </c>
      <c r="T72" s="18" t="str">
        <f t="shared" si="76"/>
        <v/>
      </c>
      <c r="U72" s="18" t="str">
        <f t="shared" si="76"/>
        <v/>
      </c>
      <c r="V72" s="18" t="str">
        <f t="shared" si="76"/>
        <v/>
      </c>
      <c r="W72" s="1"/>
      <c r="X72" s="13" t="s">
        <v>179</v>
      </c>
      <c r="Y72" s="13"/>
    </row>
    <row r="73" ht="42.0" customHeight="1">
      <c r="A73" s="1" t="s">
        <v>188</v>
      </c>
      <c r="B73" s="13" t="s">
        <v>189</v>
      </c>
      <c r="C73" s="14">
        <v>46328.0</v>
      </c>
      <c r="D73" s="13" t="s">
        <v>65</v>
      </c>
      <c r="E73" s="14">
        <v>46332.0</v>
      </c>
      <c r="F73" s="15">
        <f t="shared" si="72"/>
        <v>5</v>
      </c>
      <c r="G73" s="9"/>
      <c r="H73" s="13" t="s">
        <v>178</v>
      </c>
      <c r="I73" s="16" t="s">
        <v>31</v>
      </c>
      <c r="J73" s="19"/>
      <c r="K73" s="1"/>
      <c r="L73" s="18" t="str">
        <f t="shared" ref="L73:V73" si="77">IF(OR($C73="",$E73=""),"",IF(AND($C73&lt;=MIN(L$8+6,$Y$4),$E73&gt;=L$8),IF(OR($D73="Team milestone",$D73="Course milestone"),"M",1),""))</f>
        <v/>
      </c>
      <c r="M73" s="18" t="str">
        <f t="shared" si="77"/>
        <v/>
      </c>
      <c r="N73" s="18" t="str">
        <f t="shared" si="77"/>
        <v/>
      </c>
      <c r="O73" s="18" t="str">
        <f t="shared" si="77"/>
        <v/>
      </c>
      <c r="P73" s="18" t="str">
        <f t="shared" si="77"/>
        <v/>
      </c>
      <c r="Q73" s="18">
        <f t="shared" si="77"/>
        <v>1</v>
      </c>
      <c r="R73" s="18" t="str">
        <f t="shared" si="77"/>
        <v/>
      </c>
      <c r="S73" s="18" t="str">
        <f t="shared" si="77"/>
        <v/>
      </c>
      <c r="T73" s="18" t="str">
        <f t="shared" si="77"/>
        <v/>
      </c>
      <c r="U73" s="18" t="str">
        <f t="shared" si="77"/>
        <v/>
      </c>
      <c r="V73" s="18" t="str">
        <f t="shared" si="77"/>
        <v/>
      </c>
      <c r="W73" s="1"/>
      <c r="X73" s="13" t="s">
        <v>179</v>
      </c>
      <c r="Y73" s="13"/>
    </row>
    <row r="74" ht="42.0" customHeight="1">
      <c r="A74" s="1" t="s">
        <v>190</v>
      </c>
      <c r="B74" s="13" t="s">
        <v>191</v>
      </c>
      <c r="C74" s="14">
        <v>46335.0</v>
      </c>
      <c r="D74" s="13" t="s">
        <v>65</v>
      </c>
      <c r="E74" s="14">
        <v>46339.0</v>
      </c>
      <c r="F74" s="15">
        <f t="shared" si="72"/>
        <v>5</v>
      </c>
      <c r="G74" s="9"/>
      <c r="H74" s="13" t="s">
        <v>178</v>
      </c>
      <c r="I74" s="16" t="s">
        <v>31</v>
      </c>
      <c r="J74" s="19"/>
      <c r="K74" s="1"/>
      <c r="L74" s="18" t="str">
        <f t="shared" ref="L74:V74" si="78">IF(OR($C74="",$E74=""),"",IF(AND($C74&lt;=MIN(L$8+6,$Y$4),$E74&gt;=L$8),IF(OR($D74="Team milestone",$D74="Course milestone"),"M",1),""))</f>
        <v/>
      </c>
      <c r="M74" s="18" t="str">
        <f t="shared" si="78"/>
        <v/>
      </c>
      <c r="N74" s="18" t="str">
        <f t="shared" si="78"/>
        <v/>
      </c>
      <c r="O74" s="18" t="str">
        <f t="shared" si="78"/>
        <v/>
      </c>
      <c r="P74" s="18" t="str">
        <f t="shared" si="78"/>
        <v/>
      </c>
      <c r="Q74" s="18" t="str">
        <f t="shared" si="78"/>
        <v/>
      </c>
      <c r="R74" s="18">
        <f t="shared" si="78"/>
        <v>1</v>
      </c>
      <c r="S74" s="18" t="str">
        <f t="shared" si="78"/>
        <v/>
      </c>
      <c r="T74" s="18" t="str">
        <f t="shared" si="78"/>
        <v/>
      </c>
      <c r="U74" s="18" t="str">
        <f t="shared" si="78"/>
        <v/>
      </c>
      <c r="V74" s="18" t="str">
        <f t="shared" si="78"/>
        <v/>
      </c>
      <c r="W74" s="1"/>
      <c r="X74" s="13" t="s">
        <v>179</v>
      </c>
      <c r="Y74" s="13"/>
    </row>
    <row r="75" ht="42.0" customHeight="1">
      <c r="A75" s="1" t="s">
        <v>192</v>
      </c>
      <c r="B75" s="13" t="s">
        <v>193</v>
      </c>
      <c r="C75" s="14">
        <v>46342.0</v>
      </c>
      <c r="D75" s="13" t="s">
        <v>65</v>
      </c>
      <c r="E75" s="14">
        <v>46346.0</v>
      </c>
      <c r="F75" s="15">
        <f t="shared" si="72"/>
        <v>5</v>
      </c>
      <c r="G75" s="9"/>
      <c r="H75" s="13" t="s">
        <v>178</v>
      </c>
      <c r="I75" s="16" t="s">
        <v>31</v>
      </c>
      <c r="J75" s="19"/>
      <c r="K75" s="1"/>
      <c r="L75" s="18" t="str">
        <f t="shared" ref="L75:V75" si="79">IF(OR($C75="",$E75=""),"",IF(AND($C75&lt;=MIN(L$8+6,$Y$4),$E75&gt;=L$8),IF(OR($D75="Team milestone",$D75="Course milestone"),"M",1),""))</f>
        <v/>
      </c>
      <c r="M75" s="18" t="str">
        <f t="shared" si="79"/>
        <v/>
      </c>
      <c r="N75" s="18" t="str">
        <f t="shared" si="79"/>
        <v/>
      </c>
      <c r="O75" s="18" t="str">
        <f t="shared" si="79"/>
        <v/>
      </c>
      <c r="P75" s="18" t="str">
        <f t="shared" si="79"/>
        <v/>
      </c>
      <c r="Q75" s="18" t="str">
        <f t="shared" si="79"/>
        <v/>
      </c>
      <c r="R75" s="18" t="str">
        <f t="shared" si="79"/>
        <v/>
      </c>
      <c r="S75" s="18">
        <f t="shared" si="79"/>
        <v>1</v>
      </c>
      <c r="T75" s="18" t="str">
        <f t="shared" si="79"/>
        <v/>
      </c>
      <c r="U75" s="18" t="str">
        <f t="shared" si="79"/>
        <v/>
      </c>
      <c r="V75" s="18" t="str">
        <f t="shared" si="79"/>
        <v/>
      </c>
      <c r="W75" s="1"/>
      <c r="X75" s="13" t="s">
        <v>179</v>
      </c>
      <c r="Y75" s="13"/>
    </row>
    <row r="76" ht="42.0" customHeight="1">
      <c r="A76" s="1" t="s">
        <v>194</v>
      </c>
      <c r="B76" s="13" t="s">
        <v>195</v>
      </c>
      <c r="C76" s="14">
        <v>46356.0</v>
      </c>
      <c r="D76" s="13" t="s">
        <v>65</v>
      </c>
      <c r="E76" s="14">
        <v>46360.0</v>
      </c>
      <c r="F76" s="15">
        <f t="shared" si="72"/>
        <v>5</v>
      </c>
      <c r="G76" s="9"/>
      <c r="H76" s="13" t="s">
        <v>178</v>
      </c>
      <c r="I76" s="16" t="s">
        <v>31</v>
      </c>
      <c r="J76" s="19"/>
      <c r="K76" s="1"/>
      <c r="L76" s="18" t="str">
        <f t="shared" ref="L76:V76" si="80">IF(OR($C76="",$E76=""),"",IF(AND($C76&lt;=MIN(L$8+6,$Y$4),$E76&gt;=L$8),IF(OR($D76="Team milestone",$D76="Course milestone"),"M",1),""))</f>
        <v/>
      </c>
      <c r="M76" s="18" t="str">
        <f t="shared" si="80"/>
        <v/>
      </c>
      <c r="N76" s="18" t="str">
        <f t="shared" si="80"/>
        <v/>
      </c>
      <c r="O76" s="18" t="str">
        <f t="shared" si="80"/>
        <v/>
      </c>
      <c r="P76" s="18" t="str">
        <f t="shared" si="80"/>
        <v/>
      </c>
      <c r="Q76" s="18" t="str">
        <f t="shared" si="80"/>
        <v/>
      </c>
      <c r="R76" s="18" t="str">
        <f t="shared" si="80"/>
        <v/>
      </c>
      <c r="S76" s="18" t="str">
        <f t="shared" si="80"/>
        <v/>
      </c>
      <c r="T76" s="18" t="str">
        <f t="shared" si="80"/>
        <v/>
      </c>
      <c r="U76" s="18">
        <f t="shared" si="80"/>
        <v>1</v>
      </c>
      <c r="V76" s="18" t="str">
        <f t="shared" si="80"/>
        <v/>
      </c>
      <c r="W76" s="1"/>
      <c r="X76" s="13" t="s">
        <v>179</v>
      </c>
      <c r="Y76" s="13"/>
    </row>
    <row r="77" ht="24.75" customHeight="1">
      <c r="A77" s="12" t="s">
        <v>196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1"/>
      <c r="X77" s="1"/>
      <c r="Y77" s="1"/>
    </row>
    <row r="78" ht="42.0" customHeight="1">
      <c r="A78" s="1" t="s">
        <v>197</v>
      </c>
      <c r="B78" s="13" t="s">
        <v>198</v>
      </c>
      <c r="C78" s="14">
        <v>46293.0</v>
      </c>
      <c r="D78" s="13" t="s">
        <v>199</v>
      </c>
      <c r="E78" s="14">
        <v>46293.0</v>
      </c>
      <c r="F78" s="15">
        <f t="shared" ref="F78:F107" si="82">IF(OR(C78="",E78=""),"",E78-C78+1)</f>
        <v>1</v>
      </c>
      <c r="G78" s="9" t="s">
        <v>29</v>
      </c>
      <c r="H78" s="13" t="s">
        <v>199</v>
      </c>
      <c r="I78" s="16" t="s">
        <v>31</v>
      </c>
      <c r="J78" s="17"/>
      <c r="K78" s="1"/>
      <c r="L78" s="18" t="str">
        <f t="shared" ref="L78:V78" si="81">IF(OR($C78="",$E78=""),"",IF(AND($C78&lt;=MIN(L$8+6,$Y$4),$E78&gt;=L$8),IF(OR($D78="Team milestone",$D78="Course milestone"),"M",1),""))</f>
        <v>M</v>
      </c>
      <c r="M78" s="18" t="str">
        <f t="shared" si="81"/>
        <v/>
      </c>
      <c r="N78" s="18" t="str">
        <f t="shared" si="81"/>
        <v/>
      </c>
      <c r="O78" s="18" t="str">
        <f t="shared" si="81"/>
        <v/>
      </c>
      <c r="P78" s="18" t="str">
        <f t="shared" si="81"/>
        <v/>
      </c>
      <c r="Q78" s="18" t="str">
        <f t="shared" si="81"/>
        <v/>
      </c>
      <c r="R78" s="18" t="str">
        <f t="shared" si="81"/>
        <v/>
      </c>
      <c r="S78" s="18" t="str">
        <f t="shared" si="81"/>
        <v/>
      </c>
      <c r="T78" s="18" t="str">
        <f t="shared" si="81"/>
        <v/>
      </c>
      <c r="U78" s="18" t="str">
        <f t="shared" si="81"/>
        <v/>
      </c>
      <c r="V78" s="18" t="str">
        <f t="shared" si="81"/>
        <v/>
      </c>
      <c r="W78" s="1"/>
      <c r="X78" s="13" t="s">
        <v>200</v>
      </c>
      <c r="Y78" s="13" t="s">
        <v>201</v>
      </c>
    </row>
    <row r="79" ht="42.0" customHeight="1">
      <c r="A79" s="1" t="s">
        <v>202</v>
      </c>
      <c r="B79" s="13" t="s">
        <v>203</v>
      </c>
      <c r="C79" s="14">
        <v>46297.0</v>
      </c>
      <c r="D79" s="13" t="s">
        <v>199</v>
      </c>
      <c r="E79" s="14">
        <v>46297.0</v>
      </c>
      <c r="F79" s="15">
        <f t="shared" si="82"/>
        <v>1</v>
      </c>
      <c r="G79" s="9" t="s">
        <v>176</v>
      </c>
      <c r="H79" s="13" t="s">
        <v>199</v>
      </c>
      <c r="I79" s="16" t="s">
        <v>31</v>
      </c>
      <c r="J79" s="17"/>
      <c r="K79" s="1"/>
      <c r="L79" s="18" t="str">
        <f t="shared" ref="L79:V79" si="83">IF(OR($C79="",$E79=""),"",IF(AND($C79&lt;=MIN(L$8+6,$Y$4),$E79&gt;=L$8),IF(OR($D79="Team milestone",$D79="Course milestone"),"M",1),""))</f>
        <v>M</v>
      </c>
      <c r="M79" s="18" t="str">
        <f t="shared" si="83"/>
        <v/>
      </c>
      <c r="N79" s="18" t="str">
        <f t="shared" si="83"/>
        <v/>
      </c>
      <c r="O79" s="18" t="str">
        <f t="shared" si="83"/>
        <v/>
      </c>
      <c r="P79" s="18" t="str">
        <f t="shared" si="83"/>
        <v/>
      </c>
      <c r="Q79" s="18" t="str">
        <f t="shared" si="83"/>
        <v/>
      </c>
      <c r="R79" s="18" t="str">
        <f t="shared" si="83"/>
        <v/>
      </c>
      <c r="S79" s="18" t="str">
        <f t="shared" si="83"/>
        <v/>
      </c>
      <c r="T79" s="18" t="str">
        <f t="shared" si="83"/>
        <v/>
      </c>
      <c r="U79" s="18" t="str">
        <f t="shared" si="83"/>
        <v/>
      </c>
      <c r="V79" s="18" t="str">
        <f t="shared" si="83"/>
        <v/>
      </c>
      <c r="W79" s="1"/>
      <c r="X79" s="13" t="s">
        <v>200</v>
      </c>
      <c r="Y79" s="13" t="s">
        <v>204</v>
      </c>
    </row>
    <row r="80" ht="42.0" customHeight="1">
      <c r="A80" s="1" t="s">
        <v>205</v>
      </c>
      <c r="B80" s="13" t="s">
        <v>206</v>
      </c>
      <c r="C80" s="14">
        <v>46300.0</v>
      </c>
      <c r="D80" s="13" t="s">
        <v>199</v>
      </c>
      <c r="E80" s="14">
        <v>46300.0</v>
      </c>
      <c r="F80" s="15">
        <f t="shared" si="82"/>
        <v>1</v>
      </c>
      <c r="G80" s="9" t="s">
        <v>35</v>
      </c>
      <c r="H80" s="13" t="s">
        <v>199</v>
      </c>
      <c r="I80" s="16" t="s">
        <v>31</v>
      </c>
      <c r="J80" s="17"/>
      <c r="K80" s="1"/>
      <c r="L80" s="18" t="str">
        <f t="shared" ref="L80:V80" si="84">IF(OR($C80="",$E80=""),"",IF(AND($C80&lt;=MIN(L$8+6,$Y$4),$E80&gt;=L$8),IF(OR($D80="Team milestone",$D80="Course milestone"),"M",1),""))</f>
        <v/>
      </c>
      <c r="M80" s="18" t="str">
        <f t="shared" si="84"/>
        <v>M</v>
      </c>
      <c r="N80" s="18" t="str">
        <f t="shared" si="84"/>
        <v/>
      </c>
      <c r="O80" s="18" t="str">
        <f t="shared" si="84"/>
        <v/>
      </c>
      <c r="P80" s="18" t="str">
        <f t="shared" si="84"/>
        <v/>
      </c>
      <c r="Q80" s="18" t="str">
        <f t="shared" si="84"/>
        <v/>
      </c>
      <c r="R80" s="18" t="str">
        <f t="shared" si="84"/>
        <v/>
      </c>
      <c r="S80" s="18" t="str">
        <f t="shared" si="84"/>
        <v/>
      </c>
      <c r="T80" s="18" t="str">
        <f t="shared" si="84"/>
        <v/>
      </c>
      <c r="U80" s="18" t="str">
        <f t="shared" si="84"/>
        <v/>
      </c>
      <c r="V80" s="18" t="str">
        <f t="shared" si="84"/>
        <v/>
      </c>
      <c r="W80" s="1"/>
      <c r="X80" s="13" t="s">
        <v>200</v>
      </c>
      <c r="Y80" s="13" t="s">
        <v>207</v>
      </c>
    </row>
    <row r="81" ht="42.0" customHeight="1">
      <c r="A81" s="1" t="s">
        <v>208</v>
      </c>
      <c r="B81" s="13" t="s">
        <v>209</v>
      </c>
      <c r="C81" s="14">
        <v>46304.0</v>
      </c>
      <c r="D81" s="13" t="s">
        <v>199</v>
      </c>
      <c r="E81" s="14">
        <v>46304.0</v>
      </c>
      <c r="F81" s="15">
        <f t="shared" si="82"/>
        <v>1</v>
      </c>
      <c r="G81" s="9" t="s">
        <v>94</v>
      </c>
      <c r="H81" s="13" t="s">
        <v>199</v>
      </c>
      <c r="I81" s="16" t="s">
        <v>31</v>
      </c>
      <c r="J81" s="17"/>
      <c r="K81" s="1"/>
      <c r="L81" s="18" t="str">
        <f t="shared" ref="L81:V81" si="85">IF(OR($C81="",$E81=""),"",IF(AND($C81&lt;=MIN(L$8+6,$Y$4),$E81&gt;=L$8),IF(OR($D81="Team milestone",$D81="Course milestone"),"M",1),""))</f>
        <v/>
      </c>
      <c r="M81" s="18" t="str">
        <f t="shared" si="85"/>
        <v>M</v>
      </c>
      <c r="N81" s="18" t="str">
        <f t="shared" si="85"/>
        <v/>
      </c>
      <c r="O81" s="18" t="str">
        <f t="shared" si="85"/>
        <v/>
      </c>
      <c r="P81" s="18" t="str">
        <f t="shared" si="85"/>
        <v/>
      </c>
      <c r="Q81" s="18" t="str">
        <f t="shared" si="85"/>
        <v/>
      </c>
      <c r="R81" s="18" t="str">
        <f t="shared" si="85"/>
        <v/>
      </c>
      <c r="S81" s="18" t="str">
        <f t="shared" si="85"/>
        <v/>
      </c>
      <c r="T81" s="18" t="str">
        <f t="shared" si="85"/>
        <v/>
      </c>
      <c r="U81" s="18" t="str">
        <f t="shared" si="85"/>
        <v/>
      </c>
      <c r="V81" s="18" t="str">
        <f t="shared" si="85"/>
        <v/>
      </c>
      <c r="W81" s="1"/>
      <c r="X81" s="13" t="s">
        <v>210</v>
      </c>
      <c r="Y81" s="13" t="s">
        <v>211</v>
      </c>
    </row>
    <row r="82" ht="42.0" customHeight="1">
      <c r="A82" s="1" t="s">
        <v>212</v>
      </c>
      <c r="B82" s="13" t="s">
        <v>213</v>
      </c>
      <c r="C82" s="14">
        <v>46304.0</v>
      </c>
      <c r="D82" s="13" t="s">
        <v>199</v>
      </c>
      <c r="E82" s="14">
        <v>46304.0</v>
      </c>
      <c r="F82" s="15">
        <f t="shared" si="82"/>
        <v>1</v>
      </c>
      <c r="G82" s="9" t="s">
        <v>180</v>
      </c>
      <c r="H82" s="13" t="s">
        <v>199</v>
      </c>
      <c r="I82" s="16" t="s">
        <v>31</v>
      </c>
      <c r="J82" s="17"/>
      <c r="K82" s="1"/>
      <c r="L82" s="18" t="str">
        <f t="shared" ref="L82:V82" si="86">IF(OR($C82="",$E82=""),"",IF(AND($C82&lt;=MIN(L$8+6,$Y$4),$E82&gt;=L$8),IF(OR($D82="Team milestone",$D82="Course milestone"),"M",1),""))</f>
        <v/>
      </c>
      <c r="M82" s="18" t="str">
        <f t="shared" si="86"/>
        <v>M</v>
      </c>
      <c r="N82" s="18" t="str">
        <f t="shared" si="86"/>
        <v/>
      </c>
      <c r="O82" s="18" t="str">
        <f t="shared" si="86"/>
        <v/>
      </c>
      <c r="P82" s="18" t="str">
        <f t="shared" si="86"/>
        <v/>
      </c>
      <c r="Q82" s="18" t="str">
        <f t="shared" si="86"/>
        <v/>
      </c>
      <c r="R82" s="18" t="str">
        <f t="shared" si="86"/>
        <v/>
      </c>
      <c r="S82" s="18" t="str">
        <f t="shared" si="86"/>
        <v/>
      </c>
      <c r="T82" s="18" t="str">
        <f t="shared" si="86"/>
        <v/>
      </c>
      <c r="U82" s="18" t="str">
        <f t="shared" si="86"/>
        <v/>
      </c>
      <c r="V82" s="18" t="str">
        <f t="shared" si="86"/>
        <v/>
      </c>
      <c r="W82" s="1"/>
      <c r="X82" s="13" t="s">
        <v>200</v>
      </c>
      <c r="Y82" s="13" t="s">
        <v>214</v>
      </c>
    </row>
    <row r="83" ht="42.0" customHeight="1">
      <c r="A83" s="1" t="s">
        <v>215</v>
      </c>
      <c r="B83" s="13" t="s">
        <v>216</v>
      </c>
      <c r="C83" s="14">
        <v>46307.0</v>
      </c>
      <c r="D83" s="13" t="s">
        <v>199</v>
      </c>
      <c r="E83" s="14">
        <v>46307.0</v>
      </c>
      <c r="F83" s="15">
        <f t="shared" si="82"/>
        <v>1</v>
      </c>
      <c r="G83" s="9" t="s">
        <v>40</v>
      </c>
      <c r="H83" s="13" t="s">
        <v>199</v>
      </c>
      <c r="I83" s="16" t="s">
        <v>31</v>
      </c>
      <c r="J83" s="19"/>
      <c r="K83" s="1"/>
      <c r="L83" s="18" t="str">
        <f t="shared" ref="L83:V83" si="87">IF(OR($C83="",$E83=""),"",IF(AND($C83&lt;=MIN(L$8+6,$Y$4),$E83&gt;=L$8),IF(OR($D83="Team milestone",$D83="Course milestone"),"M",1),""))</f>
        <v/>
      </c>
      <c r="M83" s="18" t="str">
        <f t="shared" si="87"/>
        <v/>
      </c>
      <c r="N83" s="18" t="str">
        <f t="shared" si="87"/>
        <v>M</v>
      </c>
      <c r="O83" s="18" t="str">
        <f t="shared" si="87"/>
        <v/>
      </c>
      <c r="P83" s="18" t="str">
        <f t="shared" si="87"/>
        <v/>
      </c>
      <c r="Q83" s="18" t="str">
        <f t="shared" si="87"/>
        <v/>
      </c>
      <c r="R83" s="18" t="str">
        <f t="shared" si="87"/>
        <v/>
      </c>
      <c r="S83" s="18" t="str">
        <f t="shared" si="87"/>
        <v/>
      </c>
      <c r="T83" s="18" t="str">
        <f t="shared" si="87"/>
        <v/>
      </c>
      <c r="U83" s="18" t="str">
        <f t="shared" si="87"/>
        <v/>
      </c>
      <c r="V83" s="18" t="str">
        <f t="shared" si="87"/>
        <v/>
      </c>
      <c r="W83" s="1"/>
      <c r="X83" s="13" t="s">
        <v>200</v>
      </c>
      <c r="Y83" s="13" t="s">
        <v>217</v>
      </c>
    </row>
    <row r="84" ht="42.0" customHeight="1">
      <c r="A84" s="1" t="s">
        <v>218</v>
      </c>
      <c r="B84" s="13" t="s">
        <v>219</v>
      </c>
      <c r="C84" s="14">
        <v>46311.0</v>
      </c>
      <c r="D84" s="13" t="s">
        <v>199</v>
      </c>
      <c r="E84" s="14">
        <v>46311.0</v>
      </c>
      <c r="F84" s="15">
        <f t="shared" si="82"/>
        <v>1</v>
      </c>
      <c r="G84" s="9" t="s">
        <v>99</v>
      </c>
      <c r="H84" s="13" t="s">
        <v>199</v>
      </c>
      <c r="I84" s="16" t="s">
        <v>31</v>
      </c>
      <c r="J84" s="19"/>
      <c r="K84" s="1"/>
      <c r="L84" s="18" t="str">
        <f t="shared" ref="L84:V84" si="88">IF(OR($C84="",$E84=""),"",IF(AND($C84&lt;=MIN(L$8+6,$Y$4),$E84&gt;=L$8),IF(OR($D84="Team milestone",$D84="Course milestone"),"M",1),""))</f>
        <v/>
      </c>
      <c r="M84" s="18" t="str">
        <f t="shared" si="88"/>
        <v/>
      </c>
      <c r="N84" s="18" t="str">
        <f t="shared" si="88"/>
        <v>M</v>
      </c>
      <c r="O84" s="18" t="str">
        <f t="shared" si="88"/>
        <v/>
      </c>
      <c r="P84" s="18" t="str">
        <f t="shared" si="88"/>
        <v/>
      </c>
      <c r="Q84" s="18" t="str">
        <f t="shared" si="88"/>
        <v/>
      </c>
      <c r="R84" s="18" t="str">
        <f t="shared" si="88"/>
        <v/>
      </c>
      <c r="S84" s="18" t="str">
        <f t="shared" si="88"/>
        <v/>
      </c>
      <c r="T84" s="18" t="str">
        <f t="shared" si="88"/>
        <v/>
      </c>
      <c r="U84" s="18" t="str">
        <f t="shared" si="88"/>
        <v/>
      </c>
      <c r="V84" s="18" t="str">
        <f t="shared" si="88"/>
        <v/>
      </c>
      <c r="W84" s="1"/>
      <c r="X84" s="13" t="s">
        <v>210</v>
      </c>
      <c r="Y84" s="13" t="s">
        <v>220</v>
      </c>
    </row>
    <row r="85" ht="42.0" customHeight="1">
      <c r="A85" s="1" t="s">
        <v>221</v>
      </c>
      <c r="B85" s="13" t="s">
        <v>222</v>
      </c>
      <c r="C85" s="14">
        <v>46311.0</v>
      </c>
      <c r="D85" s="13" t="s">
        <v>199</v>
      </c>
      <c r="E85" s="14">
        <v>46311.0</v>
      </c>
      <c r="F85" s="15">
        <f t="shared" si="82"/>
        <v>1</v>
      </c>
      <c r="G85" s="9" t="s">
        <v>182</v>
      </c>
      <c r="H85" s="13" t="s">
        <v>199</v>
      </c>
      <c r="I85" s="16" t="s">
        <v>31</v>
      </c>
      <c r="J85" s="19"/>
      <c r="K85" s="1"/>
      <c r="L85" s="18" t="str">
        <f t="shared" ref="L85:V85" si="89">IF(OR($C85="",$E85=""),"",IF(AND($C85&lt;=MIN(L$8+6,$Y$4),$E85&gt;=L$8),IF(OR($D85="Team milestone",$D85="Course milestone"),"M",1),""))</f>
        <v/>
      </c>
      <c r="M85" s="18" t="str">
        <f t="shared" si="89"/>
        <v/>
      </c>
      <c r="N85" s="18" t="str">
        <f t="shared" si="89"/>
        <v>M</v>
      </c>
      <c r="O85" s="18" t="str">
        <f t="shared" si="89"/>
        <v/>
      </c>
      <c r="P85" s="18" t="str">
        <f t="shared" si="89"/>
        <v/>
      </c>
      <c r="Q85" s="18" t="str">
        <f t="shared" si="89"/>
        <v/>
      </c>
      <c r="R85" s="18" t="str">
        <f t="shared" si="89"/>
        <v/>
      </c>
      <c r="S85" s="18" t="str">
        <f t="shared" si="89"/>
        <v/>
      </c>
      <c r="T85" s="18" t="str">
        <f t="shared" si="89"/>
        <v/>
      </c>
      <c r="U85" s="18" t="str">
        <f t="shared" si="89"/>
        <v/>
      </c>
      <c r="V85" s="18" t="str">
        <f t="shared" si="89"/>
        <v/>
      </c>
      <c r="W85" s="1"/>
      <c r="X85" s="13" t="s">
        <v>200</v>
      </c>
      <c r="Y85" s="13" t="s">
        <v>223</v>
      </c>
    </row>
    <row r="86" ht="42.0" customHeight="1">
      <c r="A86" s="1" t="s">
        <v>224</v>
      </c>
      <c r="B86" s="13" t="s">
        <v>225</v>
      </c>
      <c r="C86" s="14">
        <v>46316.0</v>
      </c>
      <c r="D86" s="13" t="s">
        <v>199</v>
      </c>
      <c r="E86" s="14">
        <v>46316.0</v>
      </c>
      <c r="F86" s="15">
        <f t="shared" si="82"/>
        <v>1</v>
      </c>
      <c r="G86" s="9" t="s">
        <v>108</v>
      </c>
      <c r="H86" s="13" t="s">
        <v>199</v>
      </c>
      <c r="I86" s="16" t="s">
        <v>31</v>
      </c>
      <c r="J86" s="19"/>
      <c r="K86" s="1"/>
      <c r="L86" s="18" t="str">
        <f t="shared" ref="L86:V86" si="90">IF(OR($C86="",$E86=""),"",IF(AND($C86&lt;=MIN(L$8+6,$Y$4),$E86&gt;=L$8),IF(OR($D86="Team milestone",$D86="Course milestone"),"M",1),""))</f>
        <v/>
      </c>
      <c r="M86" s="18" t="str">
        <f t="shared" si="90"/>
        <v/>
      </c>
      <c r="N86" s="18" t="str">
        <f t="shared" si="90"/>
        <v/>
      </c>
      <c r="O86" s="18" t="str">
        <f t="shared" si="90"/>
        <v>M</v>
      </c>
      <c r="P86" s="18" t="str">
        <f t="shared" si="90"/>
        <v/>
      </c>
      <c r="Q86" s="18" t="str">
        <f t="shared" si="90"/>
        <v/>
      </c>
      <c r="R86" s="18" t="str">
        <f t="shared" si="90"/>
        <v/>
      </c>
      <c r="S86" s="18" t="str">
        <f t="shared" si="90"/>
        <v/>
      </c>
      <c r="T86" s="18" t="str">
        <f t="shared" si="90"/>
        <v/>
      </c>
      <c r="U86" s="18" t="str">
        <f t="shared" si="90"/>
        <v/>
      </c>
      <c r="V86" s="18" t="str">
        <f t="shared" si="90"/>
        <v/>
      </c>
      <c r="W86" s="1"/>
      <c r="X86" s="13" t="s">
        <v>210</v>
      </c>
      <c r="Y86" s="13" t="s">
        <v>226</v>
      </c>
    </row>
    <row r="87" ht="42.0" customHeight="1">
      <c r="A87" s="1" t="s">
        <v>227</v>
      </c>
      <c r="B87" s="13" t="s">
        <v>228</v>
      </c>
      <c r="C87" s="14">
        <v>46316.0</v>
      </c>
      <c r="D87" s="13" t="s">
        <v>199</v>
      </c>
      <c r="E87" s="14">
        <v>46316.0</v>
      </c>
      <c r="F87" s="15">
        <f t="shared" si="82"/>
        <v>1</v>
      </c>
      <c r="G87" s="9" t="s">
        <v>108</v>
      </c>
      <c r="H87" s="13" t="s">
        <v>199</v>
      </c>
      <c r="I87" s="16" t="s">
        <v>31</v>
      </c>
      <c r="J87" s="19"/>
      <c r="K87" s="1"/>
      <c r="L87" s="18" t="str">
        <f t="shared" ref="L87:V87" si="91">IF(OR($C87="",$E87=""),"",IF(AND($C87&lt;=MIN(L$8+6,$Y$4),$E87&gt;=L$8),IF(OR($D87="Team milestone",$D87="Course milestone"),"M",1),""))</f>
        <v/>
      </c>
      <c r="M87" s="18" t="str">
        <f t="shared" si="91"/>
        <v/>
      </c>
      <c r="N87" s="18" t="str">
        <f t="shared" si="91"/>
        <v/>
      </c>
      <c r="O87" s="18" t="str">
        <f t="shared" si="91"/>
        <v>M</v>
      </c>
      <c r="P87" s="18" t="str">
        <f t="shared" si="91"/>
        <v/>
      </c>
      <c r="Q87" s="18" t="str">
        <f t="shared" si="91"/>
        <v/>
      </c>
      <c r="R87" s="18" t="str">
        <f t="shared" si="91"/>
        <v/>
      </c>
      <c r="S87" s="18" t="str">
        <f t="shared" si="91"/>
        <v/>
      </c>
      <c r="T87" s="18" t="str">
        <f t="shared" si="91"/>
        <v/>
      </c>
      <c r="U87" s="18" t="str">
        <f t="shared" si="91"/>
        <v/>
      </c>
      <c r="V87" s="18" t="str">
        <f t="shared" si="91"/>
        <v/>
      </c>
      <c r="W87" s="1"/>
      <c r="X87" s="13" t="s">
        <v>229</v>
      </c>
      <c r="Y87" s="13" t="s">
        <v>230</v>
      </c>
    </row>
    <row r="88" ht="42.0" customHeight="1">
      <c r="A88" s="1" t="s">
        <v>231</v>
      </c>
      <c r="B88" s="13" t="s">
        <v>232</v>
      </c>
      <c r="C88" s="14">
        <v>46316.0</v>
      </c>
      <c r="D88" s="13" t="s">
        <v>199</v>
      </c>
      <c r="E88" s="14">
        <v>46316.0</v>
      </c>
      <c r="F88" s="15">
        <f t="shared" si="82"/>
        <v>1</v>
      </c>
      <c r="G88" s="9" t="s">
        <v>105</v>
      </c>
      <c r="H88" s="13" t="s">
        <v>199</v>
      </c>
      <c r="I88" s="16" t="s">
        <v>31</v>
      </c>
      <c r="J88" s="19"/>
      <c r="K88" s="1"/>
      <c r="L88" s="18" t="str">
        <f t="shared" ref="L88:V88" si="92">IF(OR($C88="",$E88=""),"",IF(AND($C88&lt;=MIN(L$8+6,$Y$4),$E88&gt;=L$8),IF(OR($D88="Team milestone",$D88="Course milestone"),"M",1),""))</f>
        <v/>
      </c>
      <c r="M88" s="18" t="str">
        <f t="shared" si="92"/>
        <v/>
      </c>
      <c r="N88" s="18" t="str">
        <f t="shared" si="92"/>
        <v/>
      </c>
      <c r="O88" s="18" t="str">
        <f t="shared" si="92"/>
        <v>M</v>
      </c>
      <c r="P88" s="18" t="str">
        <f t="shared" si="92"/>
        <v/>
      </c>
      <c r="Q88" s="18" t="str">
        <f t="shared" si="92"/>
        <v/>
      </c>
      <c r="R88" s="18" t="str">
        <f t="shared" si="92"/>
        <v/>
      </c>
      <c r="S88" s="18" t="str">
        <f t="shared" si="92"/>
        <v/>
      </c>
      <c r="T88" s="18" t="str">
        <f t="shared" si="92"/>
        <v/>
      </c>
      <c r="U88" s="18" t="str">
        <f t="shared" si="92"/>
        <v/>
      </c>
      <c r="V88" s="18" t="str">
        <f t="shared" si="92"/>
        <v/>
      </c>
      <c r="W88" s="1"/>
      <c r="X88" s="13" t="s">
        <v>200</v>
      </c>
      <c r="Y88" s="13" t="s">
        <v>233</v>
      </c>
    </row>
    <row r="89" ht="42.0" customHeight="1">
      <c r="A89" s="1" t="s">
        <v>234</v>
      </c>
      <c r="B89" s="13" t="s">
        <v>235</v>
      </c>
      <c r="C89" s="14">
        <v>46318.0</v>
      </c>
      <c r="D89" s="13" t="s">
        <v>199</v>
      </c>
      <c r="E89" s="14">
        <v>46318.0</v>
      </c>
      <c r="F89" s="15">
        <f t="shared" si="82"/>
        <v>1</v>
      </c>
      <c r="G89" s="9" t="s">
        <v>184</v>
      </c>
      <c r="H89" s="13" t="s">
        <v>199</v>
      </c>
      <c r="I89" s="16" t="s">
        <v>31</v>
      </c>
      <c r="J89" s="19"/>
      <c r="K89" s="1"/>
      <c r="L89" s="18" t="str">
        <f t="shared" ref="L89:V89" si="93">IF(OR($C89="",$E89=""),"",IF(AND($C89&lt;=MIN(L$8+6,$Y$4),$E89&gt;=L$8),IF(OR($D89="Team milestone",$D89="Course milestone"),"M",1),""))</f>
        <v/>
      </c>
      <c r="M89" s="18" t="str">
        <f t="shared" si="93"/>
        <v/>
      </c>
      <c r="N89" s="18" t="str">
        <f t="shared" si="93"/>
        <v/>
      </c>
      <c r="O89" s="18" t="str">
        <f t="shared" si="93"/>
        <v>M</v>
      </c>
      <c r="P89" s="18" t="str">
        <f t="shared" si="93"/>
        <v/>
      </c>
      <c r="Q89" s="18" t="str">
        <f t="shared" si="93"/>
        <v/>
      </c>
      <c r="R89" s="18" t="str">
        <f t="shared" si="93"/>
        <v/>
      </c>
      <c r="S89" s="18" t="str">
        <f t="shared" si="93"/>
        <v/>
      </c>
      <c r="T89" s="18" t="str">
        <f t="shared" si="93"/>
        <v/>
      </c>
      <c r="U89" s="18" t="str">
        <f t="shared" si="93"/>
        <v/>
      </c>
      <c r="V89" s="18" t="str">
        <f t="shared" si="93"/>
        <v/>
      </c>
      <c r="W89" s="1"/>
      <c r="X89" s="13" t="s">
        <v>200</v>
      </c>
      <c r="Y89" s="13" t="s">
        <v>236</v>
      </c>
    </row>
    <row r="90" ht="42.0" customHeight="1">
      <c r="A90" s="1" t="s">
        <v>237</v>
      </c>
      <c r="B90" s="13" t="s">
        <v>238</v>
      </c>
      <c r="C90" s="14">
        <v>46323.0</v>
      </c>
      <c r="D90" s="13" t="s">
        <v>199</v>
      </c>
      <c r="E90" s="14">
        <v>46323.0</v>
      </c>
      <c r="F90" s="15">
        <f t="shared" si="82"/>
        <v>1</v>
      </c>
      <c r="G90" s="9" t="s">
        <v>117</v>
      </c>
      <c r="H90" s="13" t="s">
        <v>199</v>
      </c>
      <c r="I90" s="16" t="s">
        <v>31</v>
      </c>
      <c r="J90" s="19"/>
      <c r="K90" s="1"/>
      <c r="L90" s="18" t="str">
        <f t="shared" ref="L90:V90" si="94">IF(OR($C90="",$E90=""),"",IF(AND($C90&lt;=MIN(L$8+6,$Y$4),$E90&gt;=L$8),IF(OR($D90="Team milestone",$D90="Course milestone"),"M",1),""))</f>
        <v/>
      </c>
      <c r="M90" s="18" t="str">
        <f t="shared" si="94"/>
        <v/>
      </c>
      <c r="N90" s="18" t="str">
        <f t="shared" si="94"/>
        <v/>
      </c>
      <c r="O90" s="18" t="str">
        <f t="shared" si="94"/>
        <v/>
      </c>
      <c r="P90" s="18" t="str">
        <f t="shared" si="94"/>
        <v>M</v>
      </c>
      <c r="Q90" s="18" t="str">
        <f t="shared" si="94"/>
        <v/>
      </c>
      <c r="R90" s="18" t="str">
        <f t="shared" si="94"/>
        <v/>
      </c>
      <c r="S90" s="18" t="str">
        <f t="shared" si="94"/>
        <v/>
      </c>
      <c r="T90" s="18" t="str">
        <f t="shared" si="94"/>
        <v/>
      </c>
      <c r="U90" s="18" t="str">
        <f t="shared" si="94"/>
        <v/>
      </c>
      <c r="V90" s="18" t="str">
        <f t="shared" si="94"/>
        <v/>
      </c>
      <c r="W90" s="1"/>
      <c r="X90" s="13" t="s">
        <v>200</v>
      </c>
      <c r="Y90" s="13" t="s">
        <v>239</v>
      </c>
    </row>
    <row r="91" ht="42.0" customHeight="1">
      <c r="A91" s="1" t="s">
        <v>240</v>
      </c>
      <c r="B91" s="13" t="s">
        <v>241</v>
      </c>
      <c r="C91" s="14">
        <v>46325.0</v>
      </c>
      <c r="D91" s="13" t="s">
        <v>199</v>
      </c>
      <c r="E91" s="14">
        <v>46325.0</v>
      </c>
      <c r="F91" s="15">
        <f t="shared" si="82"/>
        <v>1</v>
      </c>
      <c r="G91" s="9" t="s">
        <v>119</v>
      </c>
      <c r="H91" s="13" t="s">
        <v>199</v>
      </c>
      <c r="I91" s="16" t="s">
        <v>31</v>
      </c>
      <c r="J91" s="19"/>
      <c r="K91" s="1"/>
      <c r="L91" s="18" t="str">
        <f t="shared" ref="L91:V91" si="95">IF(OR($C91="",$E91=""),"",IF(AND($C91&lt;=MIN(L$8+6,$Y$4),$E91&gt;=L$8),IF(OR($D91="Team milestone",$D91="Course milestone"),"M",1),""))</f>
        <v/>
      </c>
      <c r="M91" s="18" t="str">
        <f t="shared" si="95"/>
        <v/>
      </c>
      <c r="N91" s="18" t="str">
        <f t="shared" si="95"/>
        <v/>
      </c>
      <c r="O91" s="18" t="str">
        <f t="shared" si="95"/>
        <v/>
      </c>
      <c r="P91" s="18" t="str">
        <f t="shared" si="95"/>
        <v>M</v>
      </c>
      <c r="Q91" s="18" t="str">
        <f t="shared" si="95"/>
        <v/>
      </c>
      <c r="R91" s="18" t="str">
        <f t="shared" si="95"/>
        <v/>
      </c>
      <c r="S91" s="18" t="str">
        <f t="shared" si="95"/>
        <v/>
      </c>
      <c r="T91" s="18" t="str">
        <f t="shared" si="95"/>
        <v/>
      </c>
      <c r="U91" s="18" t="str">
        <f t="shared" si="95"/>
        <v/>
      </c>
      <c r="V91" s="18" t="str">
        <f t="shared" si="95"/>
        <v/>
      </c>
      <c r="W91" s="1"/>
      <c r="X91" s="13" t="s">
        <v>210</v>
      </c>
      <c r="Y91" s="13" t="s">
        <v>242</v>
      </c>
    </row>
    <row r="92" ht="42.0" customHeight="1">
      <c r="A92" s="1" t="s">
        <v>243</v>
      </c>
      <c r="B92" s="13" t="s">
        <v>244</v>
      </c>
      <c r="C92" s="14">
        <v>46325.0</v>
      </c>
      <c r="D92" s="13" t="s">
        <v>199</v>
      </c>
      <c r="E92" s="14">
        <v>46325.0</v>
      </c>
      <c r="F92" s="15">
        <f t="shared" si="82"/>
        <v>1</v>
      </c>
      <c r="G92" s="9" t="s">
        <v>186</v>
      </c>
      <c r="H92" s="13" t="s">
        <v>199</v>
      </c>
      <c r="I92" s="16" t="s">
        <v>31</v>
      </c>
      <c r="J92" s="19"/>
      <c r="K92" s="1"/>
      <c r="L92" s="18" t="str">
        <f t="shared" ref="L92:V92" si="96">IF(OR($C92="",$E92=""),"",IF(AND($C92&lt;=MIN(L$8+6,$Y$4),$E92&gt;=L$8),IF(OR($D92="Team milestone",$D92="Course milestone"),"M",1),""))</f>
        <v/>
      </c>
      <c r="M92" s="18" t="str">
        <f t="shared" si="96"/>
        <v/>
      </c>
      <c r="N92" s="18" t="str">
        <f t="shared" si="96"/>
        <v/>
      </c>
      <c r="O92" s="18" t="str">
        <f t="shared" si="96"/>
        <v/>
      </c>
      <c r="P92" s="18" t="str">
        <f t="shared" si="96"/>
        <v>M</v>
      </c>
      <c r="Q92" s="18" t="str">
        <f t="shared" si="96"/>
        <v/>
      </c>
      <c r="R92" s="18" t="str">
        <f t="shared" si="96"/>
        <v/>
      </c>
      <c r="S92" s="18" t="str">
        <f t="shared" si="96"/>
        <v/>
      </c>
      <c r="T92" s="18" t="str">
        <f t="shared" si="96"/>
        <v/>
      </c>
      <c r="U92" s="18" t="str">
        <f t="shared" si="96"/>
        <v/>
      </c>
      <c r="V92" s="18" t="str">
        <f t="shared" si="96"/>
        <v/>
      </c>
      <c r="W92" s="1"/>
      <c r="X92" s="13" t="s">
        <v>200</v>
      </c>
      <c r="Y92" s="13" t="s">
        <v>245</v>
      </c>
    </row>
    <row r="93" ht="42.0" customHeight="1">
      <c r="A93" s="1" t="s">
        <v>246</v>
      </c>
      <c r="B93" s="13" t="s">
        <v>247</v>
      </c>
      <c r="C93" s="14">
        <v>46332.0</v>
      </c>
      <c r="D93" s="13" t="s">
        <v>199</v>
      </c>
      <c r="E93" s="14">
        <v>46332.0</v>
      </c>
      <c r="F93" s="15">
        <f t="shared" si="82"/>
        <v>1</v>
      </c>
      <c r="G93" s="9" t="s">
        <v>136</v>
      </c>
      <c r="H93" s="13" t="s">
        <v>199</v>
      </c>
      <c r="I93" s="16" t="s">
        <v>31</v>
      </c>
      <c r="J93" s="19"/>
      <c r="K93" s="1"/>
      <c r="L93" s="18" t="str">
        <f t="shared" ref="L93:V93" si="97">IF(OR($C93="",$E93=""),"",IF(AND($C93&lt;=MIN(L$8+6,$Y$4),$E93&gt;=L$8),IF(OR($D93="Team milestone",$D93="Course milestone"),"M",1),""))</f>
        <v/>
      </c>
      <c r="M93" s="18" t="str">
        <f t="shared" si="97"/>
        <v/>
      </c>
      <c r="N93" s="18" t="str">
        <f t="shared" si="97"/>
        <v/>
      </c>
      <c r="O93" s="18" t="str">
        <f t="shared" si="97"/>
        <v/>
      </c>
      <c r="P93" s="18" t="str">
        <f t="shared" si="97"/>
        <v/>
      </c>
      <c r="Q93" s="18" t="str">
        <f t="shared" si="97"/>
        <v>M</v>
      </c>
      <c r="R93" s="18" t="str">
        <f t="shared" si="97"/>
        <v/>
      </c>
      <c r="S93" s="18" t="str">
        <f t="shared" si="97"/>
        <v/>
      </c>
      <c r="T93" s="18" t="str">
        <f t="shared" si="97"/>
        <v/>
      </c>
      <c r="U93" s="18" t="str">
        <f t="shared" si="97"/>
        <v/>
      </c>
      <c r="V93" s="18" t="str">
        <f t="shared" si="97"/>
        <v/>
      </c>
      <c r="W93" s="1"/>
      <c r="X93" s="13" t="s">
        <v>210</v>
      </c>
      <c r="Y93" s="13" t="s">
        <v>248</v>
      </c>
    </row>
    <row r="94" ht="42.0" customHeight="1">
      <c r="A94" s="1" t="s">
        <v>249</v>
      </c>
      <c r="B94" s="13" t="s">
        <v>250</v>
      </c>
      <c r="C94" s="14">
        <v>46332.0</v>
      </c>
      <c r="D94" s="13" t="s">
        <v>199</v>
      </c>
      <c r="E94" s="14">
        <v>46332.0</v>
      </c>
      <c r="F94" s="15">
        <f t="shared" si="82"/>
        <v>1</v>
      </c>
      <c r="G94" s="9" t="s">
        <v>188</v>
      </c>
      <c r="H94" s="13" t="s">
        <v>199</v>
      </c>
      <c r="I94" s="16" t="s">
        <v>31</v>
      </c>
      <c r="J94" s="19"/>
      <c r="K94" s="1"/>
      <c r="L94" s="18" t="str">
        <f t="shared" ref="L94:V94" si="98">IF(OR($C94="",$E94=""),"",IF(AND($C94&lt;=MIN(L$8+6,$Y$4),$E94&gt;=L$8),IF(OR($D94="Team milestone",$D94="Course milestone"),"M",1),""))</f>
        <v/>
      </c>
      <c r="M94" s="18" t="str">
        <f t="shared" si="98"/>
        <v/>
      </c>
      <c r="N94" s="18" t="str">
        <f t="shared" si="98"/>
        <v/>
      </c>
      <c r="O94" s="18" t="str">
        <f t="shared" si="98"/>
        <v/>
      </c>
      <c r="P94" s="18" t="str">
        <f t="shared" si="98"/>
        <v/>
      </c>
      <c r="Q94" s="18" t="str">
        <f t="shared" si="98"/>
        <v>M</v>
      </c>
      <c r="R94" s="18" t="str">
        <f t="shared" si="98"/>
        <v/>
      </c>
      <c r="S94" s="18" t="str">
        <f t="shared" si="98"/>
        <v/>
      </c>
      <c r="T94" s="18" t="str">
        <f t="shared" si="98"/>
        <v/>
      </c>
      <c r="U94" s="18" t="str">
        <f t="shared" si="98"/>
        <v/>
      </c>
      <c r="V94" s="18" t="str">
        <f t="shared" si="98"/>
        <v/>
      </c>
      <c r="W94" s="1"/>
      <c r="X94" s="13" t="s">
        <v>200</v>
      </c>
      <c r="Y94" s="13" t="s">
        <v>251</v>
      </c>
    </row>
    <row r="95" ht="42.0" customHeight="1">
      <c r="A95" s="1" t="s">
        <v>252</v>
      </c>
      <c r="B95" s="13" t="s">
        <v>253</v>
      </c>
      <c r="C95" s="14">
        <v>46335.0</v>
      </c>
      <c r="D95" s="13" t="s">
        <v>199</v>
      </c>
      <c r="E95" s="14">
        <v>46335.0</v>
      </c>
      <c r="F95" s="15">
        <f t="shared" si="82"/>
        <v>1</v>
      </c>
      <c r="G95" s="9" t="s">
        <v>132</v>
      </c>
      <c r="H95" s="13" t="s">
        <v>199</v>
      </c>
      <c r="I95" s="16" t="s">
        <v>31</v>
      </c>
      <c r="J95" s="19"/>
      <c r="K95" s="1"/>
      <c r="L95" s="18" t="str">
        <f t="shared" ref="L95:V95" si="99">IF(OR($C95="",$E95=""),"",IF(AND($C95&lt;=MIN(L$8+6,$Y$4),$E95&gt;=L$8),IF(OR($D95="Team milestone",$D95="Course milestone"),"M",1),""))</f>
        <v/>
      </c>
      <c r="M95" s="18" t="str">
        <f t="shared" si="99"/>
        <v/>
      </c>
      <c r="N95" s="18" t="str">
        <f t="shared" si="99"/>
        <v/>
      </c>
      <c r="O95" s="18" t="str">
        <f t="shared" si="99"/>
        <v/>
      </c>
      <c r="P95" s="18" t="str">
        <f t="shared" si="99"/>
        <v/>
      </c>
      <c r="Q95" s="18" t="str">
        <f t="shared" si="99"/>
        <v/>
      </c>
      <c r="R95" s="18" t="str">
        <f t="shared" si="99"/>
        <v>M</v>
      </c>
      <c r="S95" s="18" t="str">
        <f t="shared" si="99"/>
        <v/>
      </c>
      <c r="T95" s="18" t="str">
        <f t="shared" si="99"/>
        <v/>
      </c>
      <c r="U95" s="18" t="str">
        <f t="shared" si="99"/>
        <v/>
      </c>
      <c r="V95" s="18" t="str">
        <f t="shared" si="99"/>
        <v/>
      </c>
      <c r="W95" s="1"/>
      <c r="X95" s="13" t="s">
        <v>200</v>
      </c>
      <c r="Y95" s="13" t="s">
        <v>254</v>
      </c>
    </row>
    <row r="96" ht="42.0" customHeight="1">
      <c r="A96" s="1" t="s">
        <v>255</v>
      </c>
      <c r="B96" s="13" t="s">
        <v>256</v>
      </c>
      <c r="C96" s="14">
        <v>46339.0</v>
      </c>
      <c r="D96" s="13" t="s">
        <v>199</v>
      </c>
      <c r="E96" s="14">
        <v>46339.0</v>
      </c>
      <c r="F96" s="15">
        <f t="shared" si="82"/>
        <v>1</v>
      </c>
      <c r="G96" s="9" t="s">
        <v>138</v>
      </c>
      <c r="H96" s="13" t="s">
        <v>199</v>
      </c>
      <c r="I96" s="16" t="s">
        <v>31</v>
      </c>
      <c r="J96" s="19"/>
      <c r="K96" s="1"/>
      <c r="L96" s="18" t="str">
        <f t="shared" ref="L96:V96" si="100">IF(OR($C96="",$E96=""),"",IF(AND($C96&lt;=MIN(L$8+6,$Y$4),$E96&gt;=L$8),IF(OR($D96="Team milestone",$D96="Course milestone"),"M",1),""))</f>
        <v/>
      </c>
      <c r="M96" s="18" t="str">
        <f t="shared" si="100"/>
        <v/>
      </c>
      <c r="N96" s="18" t="str">
        <f t="shared" si="100"/>
        <v/>
      </c>
      <c r="O96" s="18" t="str">
        <f t="shared" si="100"/>
        <v/>
      </c>
      <c r="P96" s="18" t="str">
        <f t="shared" si="100"/>
        <v/>
      </c>
      <c r="Q96" s="18" t="str">
        <f t="shared" si="100"/>
        <v/>
      </c>
      <c r="R96" s="18" t="str">
        <f t="shared" si="100"/>
        <v>M</v>
      </c>
      <c r="S96" s="18" t="str">
        <f t="shared" si="100"/>
        <v/>
      </c>
      <c r="T96" s="18" t="str">
        <f t="shared" si="100"/>
        <v/>
      </c>
      <c r="U96" s="18" t="str">
        <f t="shared" si="100"/>
        <v/>
      </c>
      <c r="V96" s="18" t="str">
        <f t="shared" si="100"/>
        <v/>
      </c>
      <c r="W96" s="1"/>
      <c r="X96" s="13" t="s">
        <v>210</v>
      </c>
      <c r="Y96" s="13" t="s">
        <v>257</v>
      </c>
    </row>
    <row r="97" ht="42.0" customHeight="1">
      <c r="A97" s="1" t="s">
        <v>258</v>
      </c>
      <c r="B97" s="13" t="s">
        <v>259</v>
      </c>
      <c r="C97" s="14">
        <v>46339.0</v>
      </c>
      <c r="D97" s="13" t="s">
        <v>199</v>
      </c>
      <c r="E97" s="14">
        <v>46339.0</v>
      </c>
      <c r="F97" s="15">
        <f t="shared" si="82"/>
        <v>1</v>
      </c>
      <c r="G97" s="9" t="s">
        <v>190</v>
      </c>
      <c r="H97" s="13" t="s">
        <v>199</v>
      </c>
      <c r="I97" s="16" t="s">
        <v>31</v>
      </c>
      <c r="J97" s="19"/>
      <c r="K97" s="1"/>
      <c r="L97" s="18" t="str">
        <f t="shared" ref="L97:V97" si="101">IF(OR($C97="",$E97=""),"",IF(AND($C97&lt;=MIN(L$8+6,$Y$4),$E97&gt;=L$8),IF(OR($D97="Team milestone",$D97="Course milestone"),"M",1),""))</f>
        <v/>
      </c>
      <c r="M97" s="18" t="str">
        <f t="shared" si="101"/>
        <v/>
      </c>
      <c r="N97" s="18" t="str">
        <f t="shared" si="101"/>
        <v/>
      </c>
      <c r="O97" s="18" t="str">
        <f t="shared" si="101"/>
        <v/>
      </c>
      <c r="P97" s="18" t="str">
        <f t="shared" si="101"/>
        <v/>
      </c>
      <c r="Q97" s="18" t="str">
        <f t="shared" si="101"/>
        <v/>
      </c>
      <c r="R97" s="18" t="str">
        <f t="shared" si="101"/>
        <v>M</v>
      </c>
      <c r="S97" s="18" t="str">
        <f t="shared" si="101"/>
        <v/>
      </c>
      <c r="T97" s="18" t="str">
        <f t="shared" si="101"/>
        <v/>
      </c>
      <c r="U97" s="18" t="str">
        <f t="shared" si="101"/>
        <v/>
      </c>
      <c r="V97" s="18" t="str">
        <f t="shared" si="101"/>
        <v/>
      </c>
      <c r="W97" s="1"/>
      <c r="X97" s="13" t="s">
        <v>200</v>
      </c>
      <c r="Y97" s="13" t="s">
        <v>260</v>
      </c>
    </row>
    <row r="98" ht="42.0" customHeight="1">
      <c r="A98" s="1" t="s">
        <v>261</v>
      </c>
      <c r="B98" s="13" t="s">
        <v>262</v>
      </c>
      <c r="C98" s="14">
        <v>46342.0</v>
      </c>
      <c r="D98" s="13" t="s">
        <v>199</v>
      </c>
      <c r="E98" s="14">
        <v>46342.0</v>
      </c>
      <c r="F98" s="15">
        <f t="shared" si="82"/>
        <v>1</v>
      </c>
      <c r="G98" s="9" t="s">
        <v>140</v>
      </c>
      <c r="H98" s="13" t="s">
        <v>199</v>
      </c>
      <c r="I98" s="16" t="s">
        <v>31</v>
      </c>
      <c r="J98" s="19"/>
      <c r="K98" s="1"/>
      <c r="L98" s="18" t="str">
        <f t="shared" ref="L98:V98" si="102">IF(OR($C98="",$E98=""),"",IF(AND($C98&lt;=MIN(L$8+6,$Y$4),$E98&gt;=L$8),IF(OR($D98="Team milestone",$D98="Course milestone"),"M",1),""))</f>
        <v/>
      </c>
      <c r="M98" s="18" t="str">
        <f t="shared" si="102"/>
        <v/>
      </c>
      <c r="N98" s="18" t="str">
        <f t="shared" si="102"/>
        <v/>
      </c>
      <c r="O98" s="18" t="str">
        <f t="shared" si="102"/>
        <v/>
      </c>
      <c r="P98" s="18" t="str">
        <f t="shared" si="102"/>
        <v/>
      </c>
      <c r="Q98" s="18" t="str">
        <f t="shared" si="102"/>
        <v/>
      </c>
      <c r="R98" s="18" t="str">
        <f t="shared" si="102"/>
        <v/>
      </c>
      <c r="S98" s="18" t="str">
        <f t="shared" si="102"/>
        <v>M</v>
      </c>
      <c r="T98" s="18" t="str">
        <f t="shared" si="102"/>
        <v/>
      </c>
      <c r="U98" s="18" t="str">
        <f t="shared" si="102"/>
        <v/>
      </c>
      <c r="V98" s="18" t="str">
        <f t="shared" si="102"/>
        <v/>
      </c>
      <c r="W98" s="1"/>
      <c r="X98" s="13" t="s">
        <v>200</v>
      </c>
      <c r="Y98" s="13" t="s">
        <v>263</v>
      </c>
    </row>
    <row r="99" ht="42.0" customHeight="1">
      <c r="A99" s="1" t="s">
        <v>264</v>
      </c>
      <c r="B99" s="13" t="s">
        <v>265</v>
      </c>
      <c r="C99" s="14">
        <v>46346.0</v>
      </c>
      <c r="D99" s="13" t="s">
        <v>199</v>
      </c>
      <c r="E99" s="14">
        <v>46346.0</v>
      </c>
      <c r="F99" s="15">
        <f t="shared" si="82"/>
        <v>1</v>
      </c>
      <c r="G99" s="9" t="s">
        <v>148</v>
      </c>
      <c r="H99" s="13" t="s">
        <v>199</v>
      </c>
      <c r="I99" s="16" t="s">
        <v>31</v>
      </c>
      <c r="J99" s="19"/>
      <c r="K99" s="1"/>
      <c r="L99" s="18" t="str">
        <f t="shared" ref="L99:V99" si="103">IF(OR($C99="",$E99=""),"",IF(AND($C99&lt;=MIN(L$8+6,$Y$4),$E99&gt;=L$8),IF(OR($D99="Team milestone",$D99="Course milestone"),"M",1),""))</f>
        <v/>
      </c>
      <c r="M99" s="18" t="str">
        <f t="shared" si="103"/>
        <v/>
      </c>
      <c r="N99" s="18" t="str">
        <f t="shared" si="103"/>
        <v/>
      </c>
      <c r="O99" s="18" t="str">
        <f t="shared" si="103"/>
        <v/>
      </c>
      <c r="P99" s="18" t="str">
        <f t="shared" si="103"/>
        <v/>
      </c>
      <c r="Q99" s="18" t="str">
        <f t="shared" si="103"/>
        <v/>
      </c>
      <c r="R99" s="18" t="str">
        <f t="shared" si="103"/>
        <v/>
      </c>
      <c r="S99" s="18" t="str">
        <f t="shared" si="103"/>
        <v>M</v>
      </c>
      <c r="T99" s="18" t="str">
        <f t="shared" si="103"/>
        <v/>
      </c>
      <c r="U99" s="18" t="str">
        <f t="shared" si="103"/>
        <v/>
      </c>
      <c r="V99" s="18" t="str">
        <f t="shared" si="103"/>
        <v/>
      </c>
      <c r="W99" s="1"/>
      <c r="X99" s="13" t="s">
        <v>210</v>
      </c>
      <c r="Y99" s="13" t="s">
        <v>266</v>
      </c>
    </row>
    <row r="100" ht="42.0" customHeight="1">
      <c r="A100" s="1" t="s">
        <v>267</v>
      </c>
      <c r="B100" s="13" t="s">
        <v>268</v>
      </c>
      <c r="C100" s="14">
        <v>46346.0</v>
      </c>
      <c r="D100" s="13" t="s">
        <v>199</v>
      </c>
      <c r="E100" s="14">
        <v>46346.0</v>
      </c>
      <c r="F100" s="15">
        <f t="shared" si="82"/>
        <v>1</v>
      </c>
      <c r="G100" s="9" t="s">
        <v>192</v>
      </c>
      <c r="H100" s="13" t="s">
        <v>199</v>
      </c>
      <c r="I100" s="16" t="s">
        <v>31</v>
      </c>
      <c r="J100" s="19"/>
      <c r="K100" s="1"/>
      <c r="L100" s="18" t="str">
        <f t="shared" ref="L100:V100" si="104">IF(OR($C100="",$E100=""),"",IF(AND($C100&lt;=MIN(L$8+6,$Y$4),$E100&gt;=L$8),IF(OR($D100="Team milestone",$D100="Course milestone"),"M",1),""))</f>
        <v/>
      </c>
      <c r="M100" s="18" t="str">
        <f t="shared" si="104"/>
        <v/>
      </c>
      <c r="N100" s="18" t="str">
        <f t="shared" si="104"/>
        <v/>
      </c>
      <c r="O100" s="18" t="str">
        <f t="shared" si="104"/>
        <v/>
      </c>
      <c r="P100" s="18" t="str">
        <f t="shared" si="104"/>
        <v/>
      </c>
      <c r="Q100" s="18" t="str">
        <f t="shared" si="104"/>
        <v/>
      </c>
      <c r="R100" s="18" t="str">
        <f t="shared" si="104"/>
        <v/>
      </c>
      <c r="S100" s="18" t="str">
        <f t="shared" si="104"/>
        <v>M</v>
      </c>
      <c r="T100" s="18" t="str">
        <f t="shared" si="104"/>
        <v/>
      </c>
      <c r="U100" s="18" t="str">
        <f t="shared" si="104"/>
        <v/>
      </c>
      <c r="V100" s="18" t="str">
        <f t="shared" si="104"/>
        <v/>
      </c>
      <c r="W100" s="1"/>
      <c r="X100" s="13" t="s">
        <v>200</v>
      </c>
      <c r="Y100" s="13" t="s">
        <v>269</v>
      </c>
    </row>
    <row r="101" ht="42.0" customHeight="1">
      <c r="A101" s="1" t="s">
        <v>270</v>
      </c>
      <c r="B101" s="13" t="s">
        <v>271</v>
      </c>
      <c r="C101" s="14">
        <v>46360.0</v>
      </c>
      <c r="D101" s="13" t="s">
        <v>199</v>
      </c>
      <c r="E101" s="14">
        <v>46360.0</v>
      </c>
      <c r="F101" s="15">
        <f t="shared" si="82"/>
        <v>1</v>
      </c>
      <c r="G101" s="9"/>
      <c r="H101" s="13" t="s">
        <v>199</v>
      </c>
      <c r="I101" s="16" t="s">
        <v>272</v>
      </c>
      <c r="J101" s="19"/>
      <c r="K101" s="1"/>
      <c r="L101" s="18" t="str">
        <f t="shared" ref="L101:V101" si="105">IF(OR($C101="",$E101=""),"",IF(AND($C101&lt;=MIN(L$8+6,$Y$4),$E101&gt;=L$8),IF(OR($D101="Team milestone",$D101="Course milestone"),"M",1),""))</f>
        <v/>
      </c>
      <c r="M101" s="18" t="str">
        <f t="shared" si="105"/>
        <v/>
      </c>
      <c r="N101" s="18" t="str">
        <f t="shared" si="105"/>
        <v/>
      </c>
      <c r="O101" s="18" t="str">
        <f t="shared" si="105"/>
        <v/>
      </c>
      <c r="P101" s="18" t="str">
        <f t="shared" si="105"/>
        <v/>
      </c>
      <c r="Q101" s="18" t="str">
        <f t="shared" si="105"/>
        <v/>
      </c>
      <c r="R101" s="18" t="str">
        <f t="shared" si="105"/>
        <v/>
      </c>
      <c r="S101" s="18" t="str">
        <f t="shared" si="105"/>
        <v/>
      </c>
      <c r="T101" s="18" t="str">
        <f t="shared" si="105"/>
        <v/>
      </c>
      <c r="U101" s="18" t="str">
        <f t="shared" si="105"/>
        <v>M</v>
      </c>
      <c r="V101" s="18" t="str">
        <f t="shared" si="105"/>
        <v/>
      </c>
      <c r="W101" s="1"/>
      <c r="X101" s="13" t="s">
        <v>273</v>
      </c>
      <c r="Y101" s="13" t="s">
        <v>274</v>
      </c>
    </row>
    <row r="102" ht="42.0" customHeight="1">
      <c r="A102" s="1" t="s">
        <v>275</v>
      </c>
      <c r="B102" s="13" t="s">
        <v>276</v>
      </c>
      <c r="C102" s="14">
        <v>46360.0</v>
      </c>
      <c r="D102" s="13" t="s">
        <v>199</v>
      </c>
      <c r="E102" s="14">
        <v>46360.0</v>
      </c>
      <c r="F102" s="15">
        <f t="shared" si="82"/>
        <v>1</v>
      </c>
      <c r="G102" s="9" t="s">
        <v>163</v>
      </c>
      <c r="H102" s="13" t="s">
        <v>199</v>
      </c>
      <c r="I102" s="16" t="s">
        <v>31</v>
      </c>
      <c r="J102" s="19"/>
      <c r="K102" s="1"/>
      <c r="L102" s="18" t="str">
        <f t="shared" ref="L102:V102" si="106">IF(OR($C102="",$E102=""),"",IF(AND($C102&lt;=MIN(L$8+6,$Y$4),$E102&gt;=L$8),IF(OR($D102="Team milestone",$D102="Course milestone"),"M",1),""))</f>
        <v/>
      </c>
      <c r="M102" s="18" t="str">
        <f t="shared" si="106"/>
        <v/>
      </c>
      <c r="N102" s="18" t="str">
        <f t="shared" si="106"/>
        <v/>
      </c>
      <c r="O102" s="18" t="str">
        <f t="shared" si="106"/>
        <v/>
      </c>
      <c r="P102" s="18" t="str">
        <f t="shared" si="106"/>
        <v/>
      </c>
      <c r="Q102" s="18" t="str">
        <f t="shared" si="106"/>
        <v/>
      </c>
      <c r="R102" s="18" t="str">
        <f t="shared" si="106"/>
        <v/>
      </c>
      <c r="S102" s="18" t="str">
        <f t="shared" si="106"/>
        <v/>
      </c>
      <c r="T102" s="18" t="str">
        <f t="shared" si="106"/>
        <v/>
      </c>
      <c r="U102" s="18" t="str">
        <f t="shared" si="106"/>
        <v>M</v>
      </c>
      <c r="V102" s="18" t="str">
        <f t="shared" si="106"/>
        <v/>
      </c>
      <c r="W102" s="1"/>
      <c r="X102" s="13" t="s">
        <v>200</v>
      </c>
      <c r="Y102" s="13" t="s">
        <v>277</v>
      </c>
    </row>
    <row r="103" ht="42.0" customHeight="1">
      <c r="A103" s="1" t="s">
        <v>278</v>
      </c>
      <c r="B103" s="13" t="s">
        <v>279</v>
      </c>
      <c r="C103" s="14">
        <v>46360.0</v>
      </c>
      <c r="D103" s="13" t="s">
        <v>199</v>
      </c>
      <c r="E103" s="14">
        <v>46360.0</v>
      </c>
      <c r="F103" s="15">
        <f t="shared" si="82"/>
        <v>1</v>
      </c>
      <c r="G103" s="9" t="s">
        <v>160</v>
      </c>
      <c r="H103" s="13" t="s">
        <v>199</v>
      </c>
      <c r="I103" s="16" t="s">
        <v>31</v>
      </c>
      <c r="J103" s="19"/>
      <c r="K103" s="1"/>
      <c r="L103" s="18" t="str">
        <f t="shared" ref="L103:V103" si="107">IF(OR($C103="",$E103=""),"",IF(AND($C103&lt;=MIN(L$8+6,$Y$4),$E103&gt;=L$8),IF(OR($D103="Team milestone",$D103="Course milestone"),"M",1),""))</f>
        <v/>
      </c>
      <c r="M103" s="18" t="str">
        <f t="shared" si="107"/>
        <v/>
      </c>
      <c r="N103" s="18" t="str">
        <f t="shared" si="107"/>
        <v/>
      </c>
      <c r="O103" s="18" t="str">
        <f t="shared" si="107"/>
        <v/>
      </c>
      <c r="P103" s="18" t="str">
        <f t="shared" si="107"/>
        <v/>
      </c>
      <c r="Q103" s="18" t="str">
        <f t="shared" si="107"/>
        <v/>
      </c>
      <c r="R103" s="18" t="str">
        <f t="shared" si="107"/>
        <v/>
      </c>
      <c r="S103" s="18" t="str">
        <f t="shared" si="107"/>
        <v/>
      </c>
      <c r="T103" s="18" t="str">
        <f t="shared" si="107"/>
        <v/>
      </c>
      <c r="U103" s="18" t="str">
        <f t="shared" si="107"/>
        <v>M</v>
      </c>
      <c r="V103" s="18" t="str">
        <f t="shared" si="107"/>
        <v/>
      </c>
      <c r="W103" s="1"/>
      <c r="X103" s="13" t="s">
        <v>200</v>
      </c>
      <c r="Y103" s="13" t="s">
        <v>280</v>
      </c>
    </row>
    <row r="104" ht="42.0" customHeight="1">
      <c r="A104" s="1" t="s">
        <v>281</v>
      </c>
      <c r="B104" s="13" t="s">
        <v>282</v>
      </c>
      <c r="C104" s="14">
        <v>46360.0</v>
      </c>
      <c r="D104" s="13" t="s">
        <v>199</v>
      </c>
      <c r="E104" s="14">
        <v>46360.0</v>
      </c>
      <c r="F104" s="15">
        <f t="shared" si="82"/>
        <v>1</v>
      </c>
      <c r="G104" s="9" t="s">
        <v>163</v>
      </c>
      <c r="H104" s="13" t="s">
        <v>199</v>
      </c>
      <c r="I104" s="16" t="s">
        <v>31</v>
      </c>
      <c r="J104" s="19"/>
      <c r="K104" s="1"/>
      <c r="L104" s="18" t="str">
        <f t="shared" ref="L104:V104" si="108">IF(OR($C104="",$E104=""),"",IF(AND($C104&lt;=MIN(L$8+6,$Y$4),$E104&gt;=L$8),IF(OR($D104="Team milestone",$D104="Course milestone"),"M",1),""))</f>
        <v/>
      </c>
      <c r="M104" s="18" t="str">
        <f t="shared" si="108"/>
        <v/>
      </c>
      <c r="N104" s="18" t="str">
        <f t="shared" si="108"/>
        <v/>
      </c>
      <c r="O104" s="18" t="str">
        <f t="shared" si="108"/>
        <v/>
      </c>
      <c r="P104" s="18" t="str">
        <f t="shared" si="108"/>
        <v/>
      </c>
      <c r="Q104" s="18" t="str">
        <f t="shared" si="108"/>
        <v/>
      </c>
      <c r="R104" s="18" t="str">
        <f t="shared" si="108"/>
        <v/>
      </c>
      <c r="S104" s="18" t="str">
        <f t="shared" si="108"/>
        <v/>
      </c>
      <c r="T104" s="18" t="str">
        <f t="shared" si="108"/>
        <v/>
      </c>
      <c r="U104" s="18" t="str">
        <f t="shared" si="108"/>
        <v>M</v>
      </c>
      <c r="V104" s="18" t="str">
        <f t="shared" si="108"/>
        <v/>
      </c>
      <c r="W104" s="1"/>
      <c r="X104" s="13" t="s">
        <v>200</v>
      </c>
      <c r="Y104" s="13" t="s">
        <v>283</v>
      </c>
    </row>
    <row r="105" ht="42.0" customHeight="1">
      <c r="A105" s="1" t="s">
        <v>284</v>
      </c>
      <c r="B105" s="13" t="s">
        <v>285</v>
      </c>
      <c r="C105" s="14">
        <v>46360.0</v>
      </c>
      <c r="D105" s="13" t="s">
        <v>199</v>
      </c>
      <c r="E105" s="14">
        <v>46360.0</v>
      </c>
      <c r="F105" s="15">
        <f t="shared" si="82"/>
        <v>1</v>
      </c>
      <c r="G105" s="9" t="s">
        <v>194</v>
      </c>
      <c r="H105" s="13" t="s">
        <v>199</v>
      </c>
      <c r="I105" s="16" t="s">
        <v>31</v>
      </c>
      <c r="J105" s="19"/>
      <c r="K105" s="1"/>
      <c r="L105" s="18" t="str">
        <f t="shared" ref="L105:V105" si="109">IF(OR($C105="",$E105=""),"",IF(AND($C105&lt;=MIN(L$8+6,$Y$4),$E105&gt;=L$8),IF(OR($D105="Team milestone",$D105="Course milestone"),"M",1),""))</f>
        <v/>
      </c>
      <c r="M105" s="18" t="str">
        <f t="shared" si="109"/>
        <v/>
      </c>
      <c r="N105" s="18" t="str">
        <f t="shared" si="109"/>
        <v/>
      </c>
      <c r="O105" s="18" t="str">
        <f t="shared" si="109"/>
        <v/>
      </c>
      <c r="P105" s="18" t="str">
        <f t="shared" si="109"/>
        <v/>
      </c>
      <c r="Q105" s="18" t="str">
        <f t="shared" si="109"/>
        <v/>
      </c>
      <c r="R105" s="18" t="str">
        <f t="shared" si="109"/>
        <v/>
      </c>
      <c r="S105" s="18" t="str">
        <f t="shared" si="109"/>
        <v/>
      </c>
      <c r="T105" s="18" t="str">
        <f t="shared" si="109"/>
        <v/>
      </c>
      <c r="U105" s="18" t="str">
        <f t="shared" si="109"/>
        <v>M</v>
      </c>
      <c r="V105" s="18" t="str">
        <f t="shared" si="109"/>
        <v/>
      </c>
      <c r="W105" s="1"/>
      <c r="X105" s="13" t="s">
        <v>200</v>
      </c>
      <c r="Y105" s="13" t="s">
        <v>286</v>
      </c>
    </row>
    <row r="106" ht="42.0" customHeight="1">
      <c r="A106" s="1" t="s">
        <v>287</v>
      </c>
      <c r="B106" s="13" t="s">
        <v>288</v>
      </c>
      <c r="C106" s="14">
        <v>46365.0</v>
      </c>
      <c r="D106" s="13" t="s">
        <v>199</v>
      </c>
      <c r="E106" s="14">
        <v>46365.0</v>
      </c>
      <c r="F106" s="15">
        <f t="shared" si="82"/>
        <v>1</v>
      </c>
      <c r="G106" s="9" t="s">
        <v>169</v>
      </c>
      <c r="H106" s="13" t="s">
        <v>199</v>
      </c>
      <c r="I106" s="16" t="s">
        <v>31</v>
      </c>
      <c r="J106" s="19"/>
      <c r="K106" s="1"/>
      <c r="L106" s="18" t="str">
        <f t="shared" ref="L106:V106" si="110">IF(OR($C106="",$E106=""),"",IF(AND($C106&lt;=MIN(L$8+6,$Y$4),$E106&gt;=L$8),IF(OR($D106="Team milestone",$D106="Course milestone"),"M",1),""))</f>
        <v/>
      </c>
      <c r="M106" s="18" t="str">
        <f t="shared" si="110"/>
        <v/>
      </c>
      <c r="N106" s="18" t="str">
        <f t="shared" si="110"/>
        <v/>
      </c>
      <c r="O106" s="18" t="str">
        <f t="shared" si="110"/>
        <v/>
      </c>
      <c r="P106" s="18" t="str">
        <f t="shared" si="110"/>
        <v/>
      </c>
      <c r="Q106" s="18" t="str">
        <f t="shared" si="110"/>
        <v/>
      </c>
      <c r="R106" s="18" t="str">
        <f t="shared" si="110"/>
        <v/>
      </c>
      <c r="S106" s="18" t="str">
        <f t="shared" si="110"/>
        <v/>
      </c>
      <c r="T106" s="18" t="str">
        <f t="shared" si="110"/>
        <v/>
      </c>
      <c r="U106" s="18" t="str">
        <f t="shared" si="110"/>
        <v/>
      </c>
      <c r="V106" s="18" t="str">
        <f t="shared" si="110"/>
        <v>M</v>
      </c>
      <c r="W106" s="1"/>
      <c r="X106" s="13" t="s">
        <v>200</v>
      </c>
      <c r="Y106" s="13" t="s">
        <v>289</v>
      </c>
    </row>
    <row r="107" ht="42.0" customHeight="1">
      <c r="A107" s="1" t="s">
        <v>290</v>
      </c>
      <c r="B107" s="13" t="s">
        <v>291</v>
      </c>
      <c r="C107" s="14">
        <v>46365.0</v>
      </c>
      <c r="D107" s="13" t="s">
        <v>199</v>
      </c>
      <c r="E107" s="14">
        <v>46365.0</v>
      </c>
      <c r="F107" s="15">
        <f t="shared" si="82"/>
        <v>1</v>
      </c>
      <c r="G107" s="9" t="s">
        <v>169</v>
      </c>
      <c r="H107" s="13" t="s">
        <v>199</v>
      </c>
      <c r="I107" s="16" t="s">
        <v>31</v>
      </c>
      <c r="J107" s="19"/>
      <c r="K107" s="1"/>
      <c r="L107" s="18" t="str">
        <f t="shared" ref="L107:V107" si="111">IF(OR($C107="",$E107=""),"",IF(AND($C107&lt;=MIN(L$8+6,$Y$4),$E107&gt;=L$8),IF(OR($D107="Team milestone",$D107="Course milestone"),"M",1),""))</f>
        <v/>
      </c>
      <c r="M107" s="18" t="str">
        <f t="shared" si="111"/>
        <v/>
      </c>
      <c r="N107" s="18" t="str">
        <f t="shared" si="111"/>
        <v/>
      </c>
      <c r="O107" s="18" t="str">
        <f t="shared" si="111"/>
        <v/>
      </c>
      <c r="P107" s="18" t="str">
        <f t="shared" si="111"/>
        <v/>
      </c>
      <c r="Q107" s="18" t="str">
        <f t="shared" si="111"/>
        <v/>
      </c>
      <c r="R107" s="18" t="str">
        <f t="shared" si="111"/>
        <v/>
      </c>
      <c r="S107" s="18" t="str">
        <f t="shared" si="111"/>
        <v/>
      </c>
      <c r="T107" s="18" t="str">
        <f t="shared" si="111"/>
        <v/>
      </c>
      <c r="U107" s="18" t="str">
        <f t="shared" si="111"/>
        <v/>
      </c>
      <c r="V107" s="18" t="str">
        <f t="shared" si="111"/>
        <v>M</v>
      </c>
      <c r="W107" s="1"/>
      <c r="X107" s="13" t="s">
        <v>200</v>
      </c>
      <c r="Y107" s="13" t="s">
        <v>292</v>
      </c>
    </row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10" ht="12" customHeight="1">
      <c r="A110" s="20" t="str">
        <v>Revision history</v>
      </c>
      <c r="B110" s="20"/>
      <c r="C110" s="20"/>
      <c r="D110" s="20"/>
    </row>
    <row r="111" ht="24" customHeight="1">
      <c r="A111" s="21" t="str">
        <v>Revision</v>
      </c>
      <c r="B111" s="21" t="str">
        <v>Description</v>
      </c>
      <c r="C111" s="21" t="str">
        <v>Date</v>
      </c>
      <c r="D111" s="21" t="str">
        <v>Updated by</v>
      </c>
    </row>
    <row r="112" ht="26" customHeight="1">
      <c r="A112" s="22" t="n">
        <v>1</v>
      </c>
      <c r="B112" s="22" t="str">
        <v>Added team member assignments and revision-history table</v>
      </c>
      <c r="C112" s="23" t="d">
        <v>2026-10-12T00:00:00.000Z</v>
      </c>
      <c r="D112" s="22" t="str">
        <v>Daniel Lim</v>
      </c>
    </row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4">
    <mergeCell ref="A25:V25"/>
    <mergeCell ref="A30:V30"/>
    <mergeCell ref="A35:V35"/>
    <mergeCell ref="A46:V46"/>
    <mergeCell ref="A56:V56"/>
    <mergeCell ref="A67:V67"/>
    <mergeCell ref="A77:V77"/>
    <mergeCell ref="A3:K3"/>
    <mergeCell ref="A4:V4"/>
    <mergeCell ref="A5:V5"/>
    <mergeCell ref="A6:V6"/>
    <mergeCell ref="A9:V9"/>
    <mergeCell ref="A15:V15"/>
    <mergeCell ref="A20:V20"/>
  </mergeCells>
  <conditionalFormatting sqref="J10:J14 J16:J19 J21:J25 J27:J30">
    <cfRule type="colorScale" priority="1">
      <colorScale>
        <cfvo type="percent" val="0"/>
        <cfvo type="percent" val="100"/>
        <color rgb="FFFFFFFF"/>
        <color rgb="FF5CBCD6"/>
      </colorScale>
    </cfRule>
  </conditionalFormatting>
  <conditionalFormatting sqref="L9:V107">
    <cfRule type="cellIs" dxfId="0" priority="2" operator="equal">
      <formula>1</formula>
    </cfRule>
  </conditionalFormatting>
  <conditionalFormatting sqref="L9:V107">
    <cfRule type="containsText" dxfId="1" priority="3" operator="containsText" text="M">
      <formula>NOT(ISERROR(SEARCH(("M"),(L9))))</formula>
    </cfRule>
  </conditionalFormatting>
  <dataValidations>
    <dataValidation type="custom" allowBlank="1" showDropDown="1" sqref="C10:C14 E10:E14 E16:E19 E21:E24 C27:C29 E27:E29">
      <formula1>OR(NOT(ISERROR(DATEVALUE(C10))), AND(ISNUMBER(C10), LEFT(CELL("format", C10))="D"))</formula1>
    </dataValidation>
  </dataValidations>
  <printOptions/>
  <pageMargins bottom="0.75" footer="0.0" header="0.0" left="0.7" right="0.7" top="0.75"/>
  <pageSetup orientation="landscape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